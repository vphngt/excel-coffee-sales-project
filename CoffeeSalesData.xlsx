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tranp\Downloads\"/>
    </mc:Choice>
  </mc:AlternateContent>
  <xr:revisionPtr revIDLastSave="0" documentId="13_ncr:1_{AA916E55-2A85-436F-B3A2-D26350096A63}" xr6:coauthVersionLast="47" xr6:coauthVersionMax="47" xr10:uidLastSave="{00000000-0000-0000-0000-000000000000}"/>
  <bookViews>
    <workbookView showHorizontalScroll="0" showVerticalScroll="0" xWindow="-96" yWindow="0" windowWidth="11712" windowHeight="12336" xr2:uid="{00000000-000D-0000-FFFF-FFFF00000000}"/>
  </bookViews>
  <sheets>
    <sheet name="Dashboard" sheetId="21" r:id="rId1"/>
    <sheet name="Total Sales" sheetId="18" r:id="rId2"/>
    <sheet name="Country Sales"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35" i="17"/>
  <c r="N50" i="17"/>
  <c r="N51" i="17"/>
  <c r="N160" i="17"/>
  <c r="N170" i="17"/>
  <c r="N277" i="17"/>
  <c r="N350" i="17"/>
  <c r="N353" i="17"/>
  <c r="N425" i="17"/>
  <c r="N507" i="17"/>
  <c r="N510" i="17"/>
  <c r="N719" i="17"/>
  <c r="N727" i="17"/>
  <c r="N788" i="17"/>
  <c r="N907" i="17"/>
  <c r="N989" i="17"/>
  <c r="M28" i="17"/>
  <c r="M64" i="17"/>
  <c r="M103" i="17"/>
  <c r="M139" i="17"/>
  <c r="M172" i="17"/>
  <c r="M205" i="17"/>
  <c r="M238" i="17"/>
  <c r="M268" i="17"/>
  <c r="M301" i="17"/>
  <c r="M331" i="17"/>
  <c r="M360" i="17"/>
  <c r="M388" i="17"/>
  <c r="M415" i="17"/>
  <c r="M441" i="17"/>
  <c r="M467" i="17"/>
  <c r="M492" i="17"/>
  <c r="M516" i="17"/>
  <c r="M540" i="17"/>
  <c r="M564" i="17"/>
  <c r="M588" i="17"/>
  <c r="M612" i="17"/>
  <c r="M636" i="17"/>
  <c r="M660" i="17"/>
  <c r="M684" i="17"/>
  <c r="M708" i="17"/>
  <c r="M732" i="17"/>
  <c r="M754" i="17"/>
  <c r="M773" i="17"/>
  <c r="M790" i="17"/>
  <c r="M809" i="17"/>
  <c r="M826" i="17"/>
  <c r="M845" i="17"/>
  <c r="M862" i="17"/>
  <c r="M881" i="17"/>
  <c r="M898" i="17"/>
  <c r="M917" i="17"/>
  <c r="M934" i="17"/>
  <c r="M953" i="17"/>
  <c r="M970" i="17"/>
  <c r="M989" i="17"/>
  <c r="M2" i="17"/>
  <c r="I2" i="17"/>
  <c r="N2" i="17" s="1"/>
  <c r="K8" i="17"/>
  <c r="J11" i="17"/>
  <c r="O11" i="17" s="1"/>
  <c r="I11" i="17"/>
  <c r="N11" i="17" s="1"/>
  <c r="J2" i="17"/>
  <c r="O2" i="17" s="1"/>
  <c r="K2" i="17"/>
  <c r="L2" i="17"/>
  <c r="J8" i="17"/>
  <c r="O8" i="17" s="1"/>
  <c r="I3" i="17"/>
  <c r="N3" i="17" s="1"/>
  <c r="I4" i="17"/>
  <c r="N4" i="17" s="1"/>
  <c r="I5" i="17"/>
  <c r="N5" i="17" s="1"/>
  <c r="I6" i="17"/>
  <c r="N6" i="17" s="1"/>
  <c r="I7" i="17"/>
  <c r="N7" i="17" s="1"/>
  <c r="I8" i="17"/>
  <c r="N8" i="17" s="1"/>
  <c r="I9" i="17"/>
  <c r="N9" i="17" s="1"/>
  <c r="I10" i="17"/>
  <c r="N10"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I51" i="17"/>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I161" i="17"/>
  <c r="N161" i="17" s="1"/>
  <c r="I162" i="17"/>
  <c r="N162" i="17" s="1"/>
  <c r="I163" i="17"/>
  <c r="N163" i="17" s="1"/>
  <c r="I164" i="17"/>
  <c r="N164" i="17" s="1"/>
  <c r="I165" i="17"/>
  <c r="N165" i="17" s="1"/>
  <c r="I166" i="17"/>
  <c r="N166" i="17" s="1"/>
  <c r="I167" i="17"/>
  <c r="N167" i="17" s="1"/>
  <c r="I168" i="17"/>
  <c r="N168" i="17" s="1"/>
  <c r="I169" i="17"/>
  <c r="N169" i="17" s="1"/>
  <c r="I170" i="17"/>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I351" i="17"/>
  <c r="N351" i="17" s="1"/>
  <c r="I352" i="17"/>
  <c r="N352" i="17" s="1"/>
  <c r="I353" i="17"/>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I508" i="17"/>
  <c r="N508" i="17" s="1"/>
  <c r="I509" i="17"/>
  <c r="N509" i="17" s="1"/>
  <c r="I510" i="17"/>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I720" i="17"/>
  <c r="N720" i="17" s="1"/>
  <c r="I721" i="17"/>
  <c r="N721" i="17" s="1"/>
  <c r="I722" i="17"/>
  <c r="N722" i="17" s="1"/>
  <c r="I723" i="17"/>
  <c r="N723" i="17" s="1"/>
  <c r="I724" i="17"/>
  <c r="N724" i="17" s="1"/>
  <c r="I725" i="17"/>
  <c r="N725" i="17" s="1"/>
  <c r="I726" i="17"/>
  <c r="N726" i="17" s="1"/>
  <c r="I727" i="17"/>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L8" i="17"/>
  <c r="M8" i="17" s="1"/>
  <c r="J9" i="17"/>
  <c r="O9" i="17" s="1"/>
  <c r="K9" i="17"/>
  <c r="L9" i="17"/>
  <c r="M9" i="17" s="1"/>
  <c r="J10" i="17"/>
  <c r="O10" i="17" s="1"/>
  <c r="K10" i="17"/>
  <c r="L10" i="17"/>
  <c r="M10"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<sst xmlns="http://schemas.openxmlformats.org/spreadsheetml/2006/main" count="11097" uniqueCount="6217">
  <si>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</si>
  <si>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</si>
  <si>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</si>
  <si>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</si>
  <si>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</si>
  <si>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</si>
  <si>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</si>
  <si>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</si>
  <si>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</si>
  <si>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</si>
  <si>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</si>
  <si>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</si>
  <si>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</si>
  <si>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</si>
  <si>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</si>
  <si>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</si>
  <si>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</si>
  <si>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</si>
  <si>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</si>
  <si>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</si>
  <si>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</si>
  <si>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</si>
  <si>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</si>
  <si>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</si>
  <si>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</si>
  <si>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</si>
  <si>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</si>
  <si>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</si>
  <si>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</si>
  <si>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</si>
  <si>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</si>
  <si>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</si>
  <si>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</si>
  <si>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</si>
  <si>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</si>
  <si>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</si>
  <si>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</si>
  <si>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</si>
  <si>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</si>
  <si>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</si>
  <si>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</si>
  <si>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</si>
  <si>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</si>
  <si>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</si>
  <si>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</si>
  <si>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</si>
  <si>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</si>
  <si>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</si>
  <si>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</si>
  <si>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</si>
  <si>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</si>
  <si>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</si>
  <si>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</si>
  <si>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</si>
  <si>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</si>
  <si>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</si>
  <si>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</si>
  <si>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</si>
  <si>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</si>
  <si>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</si>
  <si>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</si>
  <si>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</si>
  <si>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</si>
  <si>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</si>
  <si>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</si>
  <si>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</si>
  <si>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</si>
  <si>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</si>
  <si>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</si>
  <si>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</si>
  <si>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</si>
  <si>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</si>
  <si>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</si>
  <si>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</si>
  <si>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</si>
  <si>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</si>
  <si>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</si>
  <si>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</si>
  <si>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</si>
  <si>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</si>
  <si>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</si>
  <si>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</si>
  <si>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</si>
  <si>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</si>
  <si>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</si>
  <si>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</si>
  <si>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</si>
  <si>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</si>
  <si>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</si>
  <si>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</si>
  <si>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</si>
  <si>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</si>
  <si>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</si>
  <si>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</si>
  <si>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</si>
  <si>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</si>
  <si>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</si>
  <si>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</si>
  <si>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</si>
  <si>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</si>
  <si>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</si>
  <si>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</si>
  <si>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</si>
  <si>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</si>
  <si>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</si>
  <si>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</si>
  <si>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</si>
  <si>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</si>
  <si>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</si>
  <si>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</si>
  <si>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</si>
  <si>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</si>
  <si>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</si>
  <si>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</si>
  <si>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</si>
  <si>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</si>
  <si>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</si>
  <si>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</si>
  <si>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</si>
  <si>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</si>
  <si>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</si>
  <si>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</si>
  <si>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</si>
  <si>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</si>
  <si>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</si>
  <si>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</si>
  <si>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</si>
  <si>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</si>
  <si>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</si>
  <si>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</si>
  <si>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</si>
  <si>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</si>
  <si>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</si>
  <si>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</si>
  <si>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</si>
  <si>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</si>
  <si>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</si>
  <si>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</si>
  <si>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</si>
  <si>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</si>
  <si>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</si>
  <si>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</si>
  <si>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</si>
  <si>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</si>
  <si>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</si>
  <si>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</si>
  <si>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</si>
  <si>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</si>
  <si>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</si>
  <si>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</si>
  <si>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</si>
  <si>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</si>
  <si>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</si>
  <si>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</si>
  <si>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</si>
  <si>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</si>
  <si>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</si>
  <si>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</si>
  <si>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</si>
  <si>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</si>
  <si>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</si>
  <si>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</si>
  <si>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</si>
  <si>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</si>
  <si>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</si>
  <si>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</si>
  <si>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</si>
  <si>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</si>
  <si>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</si>
  <si>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</si>
  <si>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</si>
  <si>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</si>
  <si>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</si>
  <si>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</si>
  <si>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</si>
  <si>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</si>
  <si>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</si>
  <si>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</si>
  <si>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</si>
  <si>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</si>
  <si>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</si>
  <si>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</si>
  <si>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</si>
  <si>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</si>
  <si>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</si>
  <si>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</si>
  <si>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</si>
  <si>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</si>
  <si>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</si>
  <si>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</si>
  <si>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</si>
  <si>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</si>
  <si>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</si>
  <si>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</si>
  <si>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</si>
  <si>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</si>
  <si>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</si>
  <si>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</si>
  <si>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</si>
  <si>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</si>
  <si>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</si>
  <si>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</si>
  <si>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</si>
  <si>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</si>
  <si>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</si>
  <si>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</si>
  <si>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</si>
  <si>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</si>
  <si>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</si>
  <si>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</si>
  <si>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</si>
  <si>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</si>
  <si>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</si>
  <si>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</si>
  <si>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</si>
  <si>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</si>
  <si>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</si>
  <si>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</si>
  <si>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</si>
  <si>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</si>
  <si>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</si>
  <si>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</si>
  <si>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</si>
  <si>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</si>
  <si>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</si>
  <si>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</si>
  <si>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</si>
  <si>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</si>
  <si>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</si>
  <si>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</si>
  <si>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</si>
  <si>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</si>
  <si>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</si>
  <si>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</si>
  <si>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</si>
  <si>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</si>
  <si>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</si>
  <si>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</si>
  <si>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</si>
  <si>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</si>
  <si>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</si>
  <si>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</si>
  <si>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</si>
  <si>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</si>
  <si>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</si>
  <si>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</si>
  <si>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</si>
  <si>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</si>
  <si>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</si>
  <si>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</si>
  <si>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</si>
  <si>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</si>
  <si>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</si>
  <si>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</si>
  <si>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</si>
  <si>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</si>
  <si>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</si>
  <si>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</si>
  <si>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</si>
  <si>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</si>
  <si>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</si>
  <si>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</si>
  <si>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</si>
  <si>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</si>
  <si>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</si>
  <si>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</si>
  <si>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</si>
  <si>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</si>
  <si>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</si>
  <si>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</si>
  <si>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</si>
  <si>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</si>
  <si>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</si>
  <si>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</si>
  <si>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</si>
  <si>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</si>
  <si>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</si>
  <si>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</si>
  <si>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</si>
  <si>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</si>
  <si>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</si>
  <si>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</si>
  <si>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</si>
  <si>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</si>
  <si>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</si>
  <si>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</si>
  <si>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</si>
  <si>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</si>
  <si>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</si>
  <si>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</si>
  <si>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</si>
  <si>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</si>
  <si>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</si>
  <si>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</si>
  <si>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</si>
  <si>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</si>
  <si>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</si>
  <si>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</si>
  <si>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</si>
  <si>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</si>
  <si>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</si>
  <si>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</si>
  <si>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</si>
  <si>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</si>
  <si>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</si>
  <si>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</si>
  <si>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</si>
  <si>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</si>
  <si>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</si>
  <si>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</si>
  <si>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</si>
  <si>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</si>
  <si>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</si>
  <si>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</si>
  <si>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</si>
  <si>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</si>
  <si>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</si>
  <si>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</si>
  <si>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</si>
  <si>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</si>
  <si>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</si>
  <si>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</si>
  <si>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</si>
  <si>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</si>
  <si>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</si>
  <si>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</si>
  <si>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</si>
  <si>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</si>
  <si>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</si>
  <si>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</si>
  <si>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</si>
  <si>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</si>
  <si>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</si>
  <si>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</si>
  <si>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</si>
  <si>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</si>
  <si>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</si>
  <si>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</si>
  <si>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</si>
  <si>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</si>
  <si>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</si>
  <si>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</si>
  <si>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</si>
  <si>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</si>
  <si>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</si>
  <si>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</si>
  <si>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</si>
  <si>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</si>
  <si>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</si>
  <si>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</si>
  <si>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</si>
  <si>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</si>
  <si>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</si>
  <si>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</si>
  <si>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</si>
  <si>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</si>
  <si>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</si>
  <si>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</si>
  <si>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</si>
  <si>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</si>
  <si>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</si>
  <si>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</si>
  <si>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</si>
  <si>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</si>
  <si>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</si>
  <si>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</si>
  <si>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</si>
  <si>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</si>
  <si>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</si>
  <si>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</si>
  <si>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</si>
  <si>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</si>
  <si>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</si>
  <si>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</si>
  <si>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</si>
  <si>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</si>
  <si>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</si>
  <si>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</si>
  <si>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</si>
  <si>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</si>
  <si>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</si>
  <si>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</si>
  <si>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</si>
  <si>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</si>
  <si>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</si>
  <si>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</si>
  <si>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</si>
  <si>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</si>
  <si>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</si>
  <si>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</si>
  <si>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</si>
  <si>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</si>
  <si>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</si>
  <si>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</si>
  <si>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</si>
  <si>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</si>
  <si>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</si>
  <si>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</si>
  <si>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</si>
  <si>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</si>
  <si>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</si>
  <si>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</si>
  <si>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</si>
  <si>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</si>
  <si>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</si>
  <si>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</si>
  <si>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</si>
  <si>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</si>
  <si>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</si>
  <si>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</si>
  <si>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</si>
  <si>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</si>
  <si>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</si>
  <si>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</si>
  <si>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</si>
  <si>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</si>
  <si>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</si>
  <si>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</si>
  <si>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</si>
  <si>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</si>
  <si>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</si>
  <si>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</si>
  <si>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</si>
  <si>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</si>
  <si>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</si>
  <si>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</si>
  <si>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</si>
  <si>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</si>
  <si>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</si>
  <si>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</si>
  <si>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</si>
  <si>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</si>
  <si>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</si>
  <si>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</si>
  <si>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</si>
  <si>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</si>
  <si>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</si>
  <si>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</si>
  <si>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</si>
  <si>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</si>
  <si>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</si>
  <si>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</si>
  <si>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</si>
  <si>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</si>
  <si>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</si>
  <si>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</si>
  <si>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</si>
  <si>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</si>
  <si>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</si>
  <si>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</si>
  <si>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</si>
  <si>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</si>
  <si>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</si>
  <si>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</si>
  <si>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</si>
  <si>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</si>
  <si>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</si>
  <si>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</si>
  <si>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</si>
  <si>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</si>
  <si>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</si>
  <si>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</si>
  <si>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</si>
  <si>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</si>
  <si>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</si>
  <si>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</si>
  <si>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</si>
  <si>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</si>
  <si>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</si>
  <si>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</si>
  <si>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</si>
  <si>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</si>
  <si>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</si>
  <si>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</si>
  <si>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</si>
  <si>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</si>
  <si>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</si>
  <si>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</si>
  <si>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</si>
  <si>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</si>
  <si>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</si>
  <si>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</si>
  <si>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</si>
  <si>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</si>
  <si>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</si>
  <si>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</si>
  <si>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</si>
  <si>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</si>
  <si>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</si>
  <si>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</si>
  <si>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</si>
  <si>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</si>
  <si>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</si>
  <si>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</si>
  <si>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</si>
  <si>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</si>
  <si>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</si>
  <si>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</si>
  <si>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</si>
  <si>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</si>
  <si>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</si>
  <si>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</si>
  <si>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</si>
  <si>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</si>
  <si>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</si>
  <si>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</si>
  <si>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</si>
  <si>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</si>
  <si>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</si>
  <si>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</si>
  <si>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</si>
  <si>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</si>
  <si>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</si>
  <si>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</si>
  <si>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</si>
  <si>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</si>
  <si>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</si>
  <si>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</si>
  <si>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</si>
  <si>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</si>
  <si>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</si>
  <si>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</si>
  <si>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</si>
  <si>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</si>
  <si>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</si>
  <si>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</si>
  <si>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</si>
  <si>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</si>
  <si>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</si>
  <si>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</si>
  <si>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</si>
  <si>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</si>
  <si>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</si>
  <si>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</si>
  <si>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</si>
  <si>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</si>
  <si>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</si>
  <si>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</si>
  <si>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</si>
  <si>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</si>
  <si>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</si>
  <si>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</si>
  <si>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</si>
  <si>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</si>
  <si>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</si>
  <si>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</si>
  <si>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</si>
  <si>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</si>
  <si>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</si>
  <si>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</si>
  <si>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</si>
  <si>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</si>
  <si>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</si>
  <si>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</si>
  <si>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</si>
  <si>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</si>
  <si>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</si>
  <si>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</si>
  <si>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</si>
  <si>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</si>
  <si>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</si>
  <si>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</si>
  <si>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</si>
  <si>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</si>
  <si>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</si>
  <si>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</si>
  <si>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</si>
  <si>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</si>
  <si>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</si>
  <si>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</si>
  <si>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</si>
  <si>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</si>
  <si>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</si>
  <si>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</si>
  <si>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</si>
  <si>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</si>
  <si>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</si>
  <si>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</si>
  <si>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</si>
  <si>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</si>
  <si>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</si>
  <si>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</si>
  <si>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</si>
  <si>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</si>
  <si>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</si>
  <si>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</si>
  <si>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</si>
  <si>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</si>
  <si>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</si>
  <si>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</si>
  <si>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</si>
  <si>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</si>
  <si>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</si>
  <si>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</si>
  <si>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</si>
  <si>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</si>
  <si>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</si>
  <si>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</si>
  <si>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</si>
  <si>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</si>
  <si>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</si>
  <si>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</si>
  <si>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</si>
  <si>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</si>
  <si>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</si>
  <si>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</si>
  <si>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</si>
  <si>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</si>
  <si>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</si>
  <si>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</si>
  <si>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</si>
  <si>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</si>
  <si>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</si>
  <si>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</si>
  <si>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</si>
  <si>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</si>
  <si>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</si>
  <si>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</si>
  <si>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</si>
  <si>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</si>
  <si>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</si>
  <si>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</si>
  <si>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</si>
  <si>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</si>
  <si>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</si>
  <si>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</si>
  <si>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</si>
  <si>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</si>
  <si>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</si>
  <si>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</si>
  <si>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</si>
  <si>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</si>
  <si>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</si>
  <si>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</si>
  <si>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</si>
  <si>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</si>
  <si>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</si>
  <si>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</si>
  <si>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</si>
  <si>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</si>
  <si>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</si>
  <si>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</si>
  <si>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</si>
  <si>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</si>
  <si>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</si>
  <si>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</si>
  <si>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</si>
  <si>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</si>
  <si>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</si>
  <si>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</si>
  <si>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</si>
  <si>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</si>
  <si>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</si>
  <si>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</si>
  <si>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</si>
  <si>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</si>
  <si>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</si>
  <si>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</si>
  <si>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</si>
  <si>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</si>
  <si>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</si>
  <si>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</si>
  <si>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</si>
  <si>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</si>
  <si>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</si>
  <si>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</si>
  <si>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</si>
  <si>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</si>
  <si>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</si>
  <si>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</si>
  <si>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</si>
  <si>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</si>
  <si>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</si>
  <si>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</si>
  <si>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</si>
  <si>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</si>
  <si>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</si>
  <si>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</si>
  <si>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</si>
  <si>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</si>
  <si>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</si>
  <si>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</si>
  <si>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</si>
  <si>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</si>
  <si>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</si>
  <si>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</si>
  <si>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</si>
  <si>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</si>
  <si>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</si>
  <si>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</si>
  <si>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</si>
  <si>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</si>
  <si>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</si>
  <si>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</si>
  <si>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</si>
  <si>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</si>
  <si>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</si>
  <si>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</si>
  <si>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</si>
  <si>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</si>
  <si>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</si>
  <si>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</si>
  <si>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</si>
  <si>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</si>
  <si>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</si>
  <si>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</si>
  <si>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</si>
  <si>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</si>
  <si>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</si>
  <si>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</si>
  <si>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</si>
  <si>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</si>
  <si>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</si>
  <si>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</si>
  <si>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</si>
  <si>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</si>
  <si>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</si>
  <si>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</si>
  <si>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</si>
  <si>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</si>
  <si>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</si>
  <si>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</si>
  <si>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</si>
  <si>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</si>
  <si>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</si>
  <si>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</si>
  <si>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</si>
  <si>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</si>
  <si>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</si>
  <si>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</si>
  <si>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</si>
  <si>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</si>
  <si>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</si>
  <si>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</si>
  <si>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</si>
  <si>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</si>
  <si>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</si>
  <si>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</si>
  <si>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</si>
  <si>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</si>
  <si>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</si>
  <si>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</si>
  <si>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</si>
  <si>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</si>
  <si>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</si>
  <si>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</si>
  <si>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</si>
  <si>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</si>
  <si>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</si>
  <si>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</si>
  <si>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</si>
  <si>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</si>
  <si>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</si>
  <si>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</si>
  <si>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</si>
  <si>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</si>
  <si>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</si>
  <si>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</si>
  <si>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</si>
  <si>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</si>
  <si>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</si>
  <si>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</si>
  <si>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</si>
  <si>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</si>
  <si>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</si>
  <si>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</si>
  <si>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</si>
  <si>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</si>
  <si>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</si>
  <si>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</si>
  <si>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</si>
  <si>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</si>
  <si>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</si>
  <si>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</si>
  <si>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</si>
  <si>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</si>
  <si>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</si>
  <si>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</si>
  <si>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</si>
  <si>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</si>
  <si>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</si>
  <si>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</si>
  <si>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</si>
  <si>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</si>
  <si>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</si>
  <si>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</si>
  <si>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</si>
  <si>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</si>
  <si>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</si>
  <si>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</si>
  <si>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</si>
  <si>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</si>
  <si>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</si>
  <si>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</si>
  <si>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</si>
  <si>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</si>
  <si>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</si>
  <si>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</si>
  <si>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</si>
  <si>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</si>
  <si>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</si>
  <si>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</si>
  <si>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</si>
  <si>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</si>
  <si>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</si>
  <si>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</si>
  <si>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</si>
  <si>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</si>
  <si>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</si>
  <si>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</si>
  <si>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</si>
  <si>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</si>
  <si>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</si>
  <si>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</si>
  <si>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</si>
  <si>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</si>
  <si>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</si>
  <si>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</si>
  <si>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</si>
  <si>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</si>
  <si>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</si>
  <si>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</si>
  <si>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</si>
  <si>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</si>
  <si>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</si>
  <si>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</si>
  <si>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</si>
  <si>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</si>
  <si>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</si>
  <si>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</si>
  <si>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</si>
  <si>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</si>
  <si>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</si>
  <si>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</si>
  <si>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</si>
  <si>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</si>
  <si>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</si>
  <si>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</si>
  <si>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</si>
  <si>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</si>
  <si>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</si>
  <si>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</si>
  <si>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</si>
  <si>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</si>
  <si>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</si>
  <si>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</si>
  <si>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</si>
  <si>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</si>
  <si>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</si>
  <si>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</si>
  <si>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</si>
  <si>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</si>
  <si>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</si>
  <si>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</si>
  <si>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</si>
  <si>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</si>
  <si>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</si>
  <si>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</si>
  <si>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</si>
  <si>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</si>
  <si>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</si>
  <si>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</si>
  <si>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</si>
  <si>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</si>
  <si>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</si>
  <si>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</si>
  <si>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</si>
  <si>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</si>
  <si>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</si>
  <si>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</si>
  <si>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</si>
  <si>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</si>
  <si>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</si>
  <si>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</si>
  <si>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</si>
  <si>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</si>
  <si>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</si>
  <si>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</si>
  <si>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</si>
  <si>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</si>
  <si>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</si>
  <si>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</si>
  <si>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</si>
  <si>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</si>
  <si>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</si>
  <si>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</si>
  <si>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</si>
  <si>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</si>
  <si>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</si>
  <si>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</si>
  <si>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</si>
  <si>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</si>
  <si>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</si>
  <si>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</si>
  <si>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</si>
  <si>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</si>
  <si>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</si>
  <si>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</si>
  <si>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</si>
  <si>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</si>
  <si>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</si>
  <si>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</si>
  <si>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</si>
  <si>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</si>
  <si>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</si>
  <si>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</si>
  <si>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</si>
  <si>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</si>
  <si>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</si>
  <si>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</si>
  <si>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</si>
  <si>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</si>
  <si>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</si>
  <si>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</si>
  <si>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</si>
  <si>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</si>
  <si>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</si>
  <si>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</si>
  <si>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</si>
  <si>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</si>
  <si>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</si>
  <si>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</si>
  <si>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</si>
  <si>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</si>
  <si>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</si>
  <si>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</si>
  <si>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</si>
  <si>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</si>
  <si>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</si>
  <si>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</si>
  <si>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</si>
  <si>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</si>
  <si>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</si>
  <si>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</si>
  <si>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</si>
  <si>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</si>
  <si>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</si>
  <si>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</si>
  <si>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</si>
  <si>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</si>
  <si>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</si>
  <si>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</si>
  <si>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</si>
  <si>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</si>
  <si>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</si>
  <si>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</si>
  <si>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</si>
  <si>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</si>
  <si>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</si>
  <si>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</si>
  <si>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</si>
  <si>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</si>
  <si>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</si>
  <si>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</si>
  <si>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</si>
  <si>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</si>
  <si>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</si>
  <si>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</si>
  <si>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</si>
  <si>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</si>
  <si>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</si>
  <si>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</si>
  <si>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</si>
  <si>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</si>
  <si>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</si>
  <si>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</si>
  <si>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</si>
  <si>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</si>
  <si>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</si>
  <si>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</si>
  <si>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</si>
  <si>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</si>
  <si>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</si>
  <si>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</si>
  <si>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</si>
  <si>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</si>
  <si>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</si>
  <si>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</si>
  <si>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</si>
  <si>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</si>
  <si>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</si>
  <si>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</si>
  <si>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</si>
  <si>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</si>
  <si>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</si>
  <si>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</si>
  <si>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</si>
  <si>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</si>
  <si>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</si>
  <si>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</si>
  <si>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</si>
  <si>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</si>
  <si>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</si>
  <si>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</si>
  <si>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</si>
  <si>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</si>
  <si>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</si>
  <si>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</si>
  <si>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</si>
  <si>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</si>
  <si>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</si>
  <si>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</si>
  <si>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</si>
  <si>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</si>
  <si>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</si>
  <si>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</si>
  <si>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</si>
  <si>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</si>
  <si>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</si>
  <si>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</si>
  <si>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</si>
  <si>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</si>
  <si>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</si>
  <si>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</si>
  <si>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</si>
  <si>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</si>
  <si>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</si>
  <si>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</si>
  <si>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</si>
  <si>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</si>
  <si>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</si>
  <si>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</si>
  <si>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</si>
  <si>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</si>
  <si>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</si>
  <si>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</si>
  <si>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</si>
  <si>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</si>
  <si>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</si>
  <si>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</si>
  <si>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</si>
  <si>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</si>
  <si>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</si>
  <si>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</si>
  <si>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</si>
  <si>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</si>
  <si>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</si>
  <si>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</si>
  <si>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</si>
  <si>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</si>
  <si>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</si>
  <si>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</si>
  <si>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</si>
  <si>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</si>
  <si>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</si>
  <si>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</si>
  <si>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</si>
  <si>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</si>
  <si>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</si>
  <si>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</si>
  <si>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</si>
  <si>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</si>
  <si>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</si>
  <si>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</si>
  <si>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</si>
  <si>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</si>
  <si>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</si>
  <si>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</si>
  <si>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</si>
  <si>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</si>
  <si>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</si>
  <si>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</si>
  <si>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</si>
  <si>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</si>
  <si>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</si>
  <si>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</si>
  <si>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</si>
  <si>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</si>
  <si>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</si>
  <si>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</si>
  <si>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</si>
  <si>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</si>
  <si>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</si>
  <si>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</si>
  <si>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</si>
  <si>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</si>
  <si>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</si>
  <si>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</si>
  <si>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</si>
  <si>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</si>
  <si>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</si>
  <si>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</si>
  <si>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</si>
  <si>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</si>
  <si>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</si>
  <si>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</si>
  <si>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</si>
  <si>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</si>
  <si>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</si>
  <si>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</si>
  <si>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</si>
  <si>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</si>
  <si>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</si>
  <si>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</si>
  <si>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</si>
  <si>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</si>
  <si>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</si>
  <si>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</si>
  <si>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</si>
  <si>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</si>
  <si>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</si>
  <si>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</si>
  <si>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</si>
  <si>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</si>
  <si>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</si>
  <si>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</si>
  <si>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</si>
  <si>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</si>
  <si>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</si>
  <si>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</si>
  <si>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</si>
  <si>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</si>
  <si>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</si>
  <si>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</si>
  <si>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</si>
  <si>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</si>
  <si>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</si>
  <si>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</si>
  <si>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</si>
  <si>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</si>
  <si>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</si>
  <si>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</si>
  <si>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</si>
  <si>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</si>
  <si>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</si>
  <si>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</si>
  <si>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</si>
  <si>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</si>
  <si>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</si>
  <si>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</si>
  <si>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</si>
  <si>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</si>
  <si>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</si>
  <si>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</si>
  <si>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</si>
  <si>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</si>
  <si>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</si>
  <si>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</si>
  <si>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</si>
  <si>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</si>
  <si>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</si>
  <si>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</si>
  <si>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</si>
  <si>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</si>
  <si>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</si>
  <si>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</si>
  <si>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</si>
  <si>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</si>
  <si>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</si>
  <si>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</si>
  <si>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</si>
  <si>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</si>
  <si>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</si>
  <si>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</si>
  <si>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</si>
  <si>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</si>
  <si>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</si>
  <si>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</si>
  <si>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</si>
  <si>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</si>
  <si>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</si>
  <si>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</si>
  <si>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</si>
  <si>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</si>
  <si>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</si>
  <si>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</si>
  <si>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</si>
  <si>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</si>
  <si>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</si>
  <si>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</si>
  <si>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</si>
  <si>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</si>
  <si>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</si>
  <si>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</si>
  <si>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</si>
  <si>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</si>
  <si>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</si>
  <si>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</si>
  <si>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</si>
  <si>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</si>
  <si>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</si>
  <si>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</si>
  <si>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</si>
  <si>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</si>
  <si>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</si>
  <si>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</si>
  <si>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</si>
  <si>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</si>
  <si>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</si>
  <si>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</si>
  <si>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</si>
  <si>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</si>
  <si>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</si>
  <si>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</si>
  <si>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</si>
  <si>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</si>
  <si>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</si>
  <si>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</si>
  <si>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</si>
  <si>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</si>
  <si>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</si>
  <si>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</si>
  <si>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</si>
  <si>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</si>
  <si>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</si>
  <si>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</si>
  <si>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</si>
  <si>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</si>
  <si>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</si>
  <si>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</si>
  <si>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</si>
  <si>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</si>
  <si>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</si>
  <si>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</si>
  <si>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</si>
  <si>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</si>
  <si>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</si>
  <si>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</si>
  <si>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</si>
  <si>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</si>
  <si>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</si>
  <si>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</si>
  <si>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</si>
  <si>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</si>
  <si>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</si>
  <si>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</si>
  <si>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</si>
  <si>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</si>
  <si>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</si>
  <si>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</si>
  <si>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</si>
  <si>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</si>
  <si>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</si>
  <si>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</si>
  <si>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</si>
  <si>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</si>
  <si>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</si>
  <si>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</si>
  <si>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</si>
  <si>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</si>
  <si>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</si>
  <si>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</si>
  <si>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</si>
  <si>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</si>
  <si>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</si>
  <si>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</si>
  <si>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</si>
  <si>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</si>
  <si>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</si>
  <si>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</si>
  <si>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</si>
  <si>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</si>
  <si>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</si>
  <si>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</si>
  <si>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</si>
  <si>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</si>
  <si>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</si>
  <si>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</si>
  <si>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</si>
  <si>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</si>
  <si>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</si>
  <si>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</si>
  <si>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</si>
  <si>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</si>
  <si>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</si>
  <si>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</si>
  <si>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</si>
  <si>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</si>
  <si>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</si>
  <si>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</si>
  <si>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</si>
  <si>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</si>
  <si>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</si>
  <si>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</si>
  <si>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</si>
  <si>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</si>
  <si>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</si>
  <si>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</si>
  <si>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</si>
  <si>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</si>
  <si>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</si>
  <si>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</si>
  <si>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</si>
  <si>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</si>
  <si>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</si>
  <si>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</si>
  <si>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</si>
  <si>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</si>
  <si>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</si>
  <si>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</si>
  <si>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</si>
  <si>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</si>
  <si>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</si>
  <si>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</si>
  <si>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</si>
  <si>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</si>
  <si>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</si>
  <si>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</si>
  <si>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</si>
  <si>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</si>
  <si>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</si>
  <si>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</si>
  <si>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</si>
  <si>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</si>
  <si>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</si>
  <si>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</si>
  <si>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</si>
  <si>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</si>
  <si>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</si>
  <si>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</si>
  <si>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</si>
  <si>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</si>
  <si>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</si>
  <si>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</si>
  <si>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</si>
  <si>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</si>
  <si>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</si>
  <si>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</si>
  <si>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</si>
  <si>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</si>
  <si>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</si>
  <si>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</si>
  <si>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</si>
  <si>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</si>
  <si>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</si>
  <si>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</si>
  <si>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</si>
  <si>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</si>
  <si>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</si>
  <si>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</si>
  <si>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</si>
  <si>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</si>
  <si>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</si>
  <si>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</si>
  <si>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</si>
  <si>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</si>
  <si>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</si>
  <si>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</si>
  <si>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</si>
  <si>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</si>
  <si>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</si>
  <si>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</si>
  <si>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</si>
  <si>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</si>
  <si>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</si>
  <si>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</si>
  <si>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</si>
  <si>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</si>
  <si>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</si>
  <si>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</si>
  <si>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</si>
  <si>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</si>
  <si>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</si>
  <si>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</si>
  <si>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</si>
  <si>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</si>
  <si>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</si>
  <si>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</si>
  <si>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</si>
  <si>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</si>
  <si>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</si>
  <si>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</si>
  <si>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</si>
  <si>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</si>
  <si>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</si>
  <si>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</si>
  <si>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</si>
  <si>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</si>
  <si>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</si>
  <si>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</si>
  <si>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</si>
  <si>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</si>
  <si>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</si>
  <si>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</si>
  <si>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</si>
  <si>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</si>
  <si>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</si>
  <si>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</si>
  <si>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</si>
  <si>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</si>
  <si>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</si>
  <si>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</si>
  <si>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</si>
  <si>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</si>
  <si>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</si>
  <si>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</si>
  <si>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</si>
  <si>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</si>
  <si>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</si>
  <si>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</si>
  <si>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</si>
  <si>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</si>
  <si>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</si>
  <si>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</si>
  <si>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</si>
  <si>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</si>
  <si>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</si>
  <si>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</si>
  <si>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</si>
  <si>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</si>
  <si>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</si>
  <si>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</si>
  <si>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</si>
  <si>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</si>
  <si>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</si>
  <si>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</si>
  <si>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</si>
  <si>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</si>
  <si>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</si>
  <si>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</si>
  <si>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</si>
  <si>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</si>
  <si>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</si>
  <si>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</si>
  <si>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</si>
  <si>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</si>
  <si>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</si>
  <si>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</si>
  <si>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</si>
  <si>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</si>
  <si>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</si>
  <si>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</si>
  <si>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</si>
  <si>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</si>
  <si>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</si>
  <si>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</si>
  <si>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</si>
  <si>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</si>
  <si>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</si>
  <si>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</si>
  <si>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</si>
  <si>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</si>
  <si>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</si>
  <si>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</si>
  <si>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</si>
  <si>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</si>
  <si>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</si>
  <si>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</si>
  <si>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</si>
  <si>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</si>
  <si>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</si>
  <si>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</si>
  <si>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</si>
  <si>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</si>
  <si>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</si>
  <si>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</si>
  <si>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</si>
  <si>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</si>
  <si>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</si>
  <si>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</si>
  <si>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</si>
  <si>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</si>
  <si>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</si>
  <si>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</si>
  <si>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</si>
  <si>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</si>
  <si>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</si>
  <si>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</si>
  <si>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</si>
  <si>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</si>
  <si>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</si>
  <si>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</si>
  <si>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</si>
  <si>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</si>
  <si>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</si>
  <si>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</si>
  <si>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</si>
  <si>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</si>
  <si>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</si>
  <si>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</si>
  <si>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</si>
  <si>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</si>
  <si>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</si>
  <si>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</si>
  <si>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</si>
  <si>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</si>
  <si>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</si>
  <si>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</si>
  <si>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</si>
  <si>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</si>
  <si>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</si>
  <si>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</si>
  <si>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</si>
  <si>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</si>
  <si>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</si>
  <si>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</si>
  <si>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</si>
  <si>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</si>
  <si>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</si>
  <si>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</si>
  <si>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</si>
  <si>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</si>
  <si>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</si>
  <si>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</si>
  <si>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</si>
  <si>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</si>
  <si>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</si>
  <si>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</si>
  <si>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</si>
  <si>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</si>
  <si>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</si>
  <si>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</si>
  <si>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</si>
  <si>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</si>
  <si>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</si>
  <si>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</si>
  <si>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</si>
  <si>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</si>
  <si>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</si>
  <si>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</si>
  <si>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</si>
  <si>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</si>
  <si>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</si>
  <si>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</si>
  <si>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</si>
  <si>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</si>
  <si>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</si>
  <si>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</si>
  <si>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</si>
  <si>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</si>
  <si>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</si>
  <si>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</si>
  <si>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</si>
  <si>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</si>
  <si>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</si>
  <si>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</si>
  <si>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</si>
  <si>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</si>
  <si>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</si>
  <si>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</si>
  <si>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</si>
  <si>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</si>
  <si>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</si>
  <si>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</si>
  <si>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</si>
  <si>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</si>
  <si>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</si>
  <si>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</si>
  <si>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</si>
  <si>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</si>
  <si>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</si>
  <si>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</si>
  <si>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</si>
  <si>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</si>
  <si>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</si>
  <si>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</si>
  <si>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</si>
  <si>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</si>
  <si>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</si>
  <si>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</si>
  <si>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</si>
  <si>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</si>
  <si>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</si>
  <si>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</si>
  <si>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</si>
  <si>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</si>
  <si>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</si>
  <si>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</si>
  <si>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</si>
  <si>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</si>
  <si>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</si>
  <si>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</si>
  <si>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</si>
  <si>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</si>
  <si>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</si>
  <si>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</si>
  <si>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</si>
  <si>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</si>
  <si>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</si>
  <si>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</si>
  <si>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</si>
  <si>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</si>
  <si>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</si>
  <si>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</si>
  <si>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</si>
  <si>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</si>
  <si>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</si>
  <si>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</si>
  <si>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</si>
  <si>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</si>
  <si>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</si>
  <si>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</si>
  <si>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</si>
  <si>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</si>
  <si>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</si>
  <si>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</si>
  <si>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</si>
  <si>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</si>
  <si>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</si>
  <si>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</si>
  <si>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</si>
  <si>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</si>
  <si>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</si>
  <si>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</si>
  <si>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</si>
  <si>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</si>
  <si>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</si>
  <si>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</si>
  <si>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</si>
  <si>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</si>
  <si>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</si>
  <si>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</si>
  <si>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</si>
  <si>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</si>
  <si>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</si>
  <si>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</si>
  <si>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</si>
  <si>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</si>
  <si>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</si>
  <si>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</si>
  <si>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</si>
  <si>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</si>
  <si>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</si>
  <si>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</si>
  <si>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</si>
  <si>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</si>
  <si>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</si>
  <si>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</si>
  <si>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</si>
  <si>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</si>
  <si>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</si>
  <si>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</si>
  <si>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</si>
  <si>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</si>
  <si>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</si>
  <si>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</si>
  <si>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</si>
  <si>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</si>
  <si>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</si>
  <si>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</si>
  <si>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</si>
  <si>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</si>
  <si>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</si>
  <si>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</si>
  <si>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</si>
  <si>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</si>
  <si>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</si>
  <si>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</si>
  <si>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</si>
  <si>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</si>
  <si>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</si>
  <si>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</si>
  <si>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</si>
  <si>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</si>
  <si>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</si>
  <si>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</si>
  <si>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</si>
  <si>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</si>
  <si>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</si>
  <si>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</si>
  <si>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</si>
  <si>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</si>
  <si>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</si>
  <si>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</si>
  <si>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</si>
  <si>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</si>
  <si>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</si>
  <si>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</si>
  <si>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</si>
  <si>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</si>
  <si>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</si>
  <si>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</si>
  <si>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</si>
  <si>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</si>
  <si>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</si>
  <si>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</si>
  <si>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</si>
  <si>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</si>
  <si>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</si>
  <si>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</si>
  <si>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</si>
  <si>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</si>
  <si>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</si>
  <si>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</si>
  <si>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</si>
  <si>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</si>
  <si>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</si>
  <si>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</si>
  <si>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</si>
  <si>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</si>
  <si>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</si>
  <si>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</si>
  <si>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</si>
  <si>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</si>
  <si>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</si>
  <si>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</si>
  <si>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</si>
  <si>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</si>
  <si>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</si>
  <si>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</si>
  <si>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</si>
  <si>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</si>
  <si>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</si>
  <si>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</si>
  <si>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</si>
  <si>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</si>
  <si>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</si>
  <si>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</si>
  <si>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</si>
  <si>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</si>
  <si>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</si>
  <si>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</si>
  <si>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</si>
  <si>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</si>
  <si>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</si>
  <si>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</si>
  <si>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</si>
  <si>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</si>
  <si>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</si>
  <si>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</si>
  <si>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</si>
  <si>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</si>
  <si>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</si>
  <si>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</si>
  <si>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</si>
  <si>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</si>
  <si>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</si>
  <si>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</si>
  <si>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</si>
  <si>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</si>
  <si>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</si>
  <si>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</si>
  <si>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</si>
  <si>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</si>
  <si>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</si>
  <si>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</si>
  <si>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</si>
  <si>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</si>
  <si>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</si>
  <si>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</si>
  <si>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</si>
  <si>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</si>
  <si>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</si>
  <si>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</si>
  <si>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</si>
  <si>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</si>
  <si>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</si>
  <si>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</si>
  <si>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</si>
  <si>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</si>
  <si>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</si>
  <si>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</si>
  <si>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</si>
  <si>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</si>
  <si>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</si>
  <si>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</si>
  <si>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</si>
  <si>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</si>
  <si>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</si>
  <si>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</si>
  <si>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</si>
  <si>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</si>
  <si>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</si>
  <si>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</si>
  <si>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</si>
  <si>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</si>
  <si>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</si>
  <si>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</si>
  <si>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</si>
  <si>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</si>
  <si>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</si>
  <si>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</si>
  <si>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</si>
  <si>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</si>
  <si>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</si>
  <si>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</si>
  <si>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</si>
  <si>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</si>
  <si>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</si>
  <si>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</si>
  <si>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</si>
  <si>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</si>
  <si>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</si>
  <si>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</si>
  <si>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</si>
  <si>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</si>
  <si>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</si>
  <si>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</si>
  <si>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</si>
  <si>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</si>
  <si>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</si>
  <si>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</si>
  <si>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</si>
  <si>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</si>
  <si>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</si>
  <si>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</si>
  <si>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</si>
  <si>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</si>
  <si>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</si>
  <si>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</si>
  <si>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</si>
  <si>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</si>
  <si>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</si>
  <si>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</si>
  <si>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</si>
  <si>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</si>
  <si>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</si>
  <si>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</si>
  <si>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</si>
  <si>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</si>
  <si>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</si>
  <si>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</si>
  <si>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</si>
  <si>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</si>
  <si>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</si>
  <si>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</si>
  <si>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</si>
  <si>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</si>
  <si>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</si>
  <si>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</si>
  <si>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</si>
  <si>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</si>
  <si>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</si>
  <si>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</si>
  <si>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</si>
  <si>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</si>
  <si>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</si>
  <si>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</si>
  <si>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</si>
  <si>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</si>
  <si>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</si>
  <si>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</si>
  <si>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</si>
  <si>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</si>
  <si>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</si>
  <si>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</si>
  <si>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</si>
  <si>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</si>
  <si>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</si>
  <si>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</si>
  <si>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</si>
  <si>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</si>
  <si>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</si>
  <si>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</si>
  <si>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</si>
  <si>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</si>
  <si>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</si>
  <si>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</si>
  <si>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</si>
  <si>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</si>
  <si>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</si>
  <si>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</si>
  <si>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</si>
  <si>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</si>
  <si>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</si>
  <si>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</si>
  <si>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</si>
  <si>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</si>
  <si>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</si>
  <si>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</si>
  <si>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</si>
  <si>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</si>
  <si>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</si>
  <si>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</si>
  <si>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</si>
  <si>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</si>
  <si>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</si>
  <si>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</si>
  <si>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</si>
  <si>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</si>
  <si>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</si>
  <si>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</si>
  <si>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</si>
  <si>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</si>
  <si>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</si>
  <si>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</si>
  <si>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</si>
  <si>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</si>
  <si>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</si>
  <si>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</si>
  <si>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</si>
  <si>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</si>
  <si>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</si>
  <si>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</si>
  <si>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</si>
  <si>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</si>
  <si>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</si>
  <si>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</si>
  <si>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</si>
  <si>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</si>
  <si>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</si>
  <si>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</si>
  <si>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</si>
  <si>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</si>
  <si>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</si>
  <si>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</si>
  <si>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</si>
  <si>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</si>
  <si>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</si>
  <si>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</si>
  <si>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</si>
  <si>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</si>
  <si>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</si>
  <si>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</si>
  <si>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</si>
  <si>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</si>
  <si>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</si>
  <si>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</si>
  <si>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</si>
  <si>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</si>
  <si>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</si>
  <si>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</si>
  <si>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</si>
  <si>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</si>
  <si>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</si>
  <si>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</si>
  <si>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</si>
  <si>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</si>
  <si>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</si>
  <si>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</si>
  <si>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</si>
  <si>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</si>
  <si>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</si>
  <si>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</si>
  <si>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</si>
  <si>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</si>
  <si>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</si>
  <si>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</si>
  <si>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</si>
  <si>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</si>
  <si>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</si>
  <si>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</si>
  <si>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</si>
  <si>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</si>
  <si>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</si>
  <si>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</si>
  <si>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</si>
  <si>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</si>
  <si>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</si>
  <si>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</si>
  <si>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</si>
  <si>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</si>
  <si>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</si>
  <si>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</si>
  <si>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</si>
  <si>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</si>
  <si>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</si>
  <si>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</si>
  <si>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</si>
  <si>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</si>
  <si>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</si>
  <si>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</si>
  <si>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</si>
  <si>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</si>
  <si>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</si>
  <si>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</si>
  <si>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</si>
  <si>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</si>
  <si>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</si>
  <si>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</si>
  <si>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</si>
  <si>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</si>
  <si>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</si>
  <si>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</si>
  <si>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</si>
  <si>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</si>
  <si>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</si>
  <si>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</si>
  <si>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</si>
  <si>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</si>
  <si>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</si>
  <si>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</si>
  <si>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</si>
  <si>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</si>
  <si>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</si>
  <si>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</si>
  <si>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</si>
  <si>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</si>
  <si>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</si>
  <si>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</si>
  <si>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</si>
  <si>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</si>
  <si>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</si>
  <si>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</si>
  <si>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</si>
  <si>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</si>
  <si>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</si>
  <si>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</si>
  <si>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</si>
  <si>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</si>
  <si>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</si>
  <si>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</si>
  <si>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</si>
  <si>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</si>
  <si>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</si>
  <si>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</si>
  <si>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</si>
  <si>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</si>
  <si>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</si>
  <si>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</si>
  <si>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</si>
  <si>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</si>
  <si>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</si>
  <si>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</si>
  <si>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</si>
  <si>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</si>
  <si>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</si>
  <si>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</si>
  <si>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</si>
  <si>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</si>
  <si>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</si>
  <si>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</si>
  <si>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</si>
  <si>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</si>
  <si>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</si>
  <si>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</si>
  <si>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</si>
  <si>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</si>
  <si>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</si>
  <si>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</si>
  <si>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</si>
  <si>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</si>
  <si>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</si>
  <si>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</si>
  <si>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</si>
  <si>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</si>
  <si>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</si>
  <si>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</si>
  <si>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</si>
  <si>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</si>
  <si>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</si>
  <si>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</si>
  <si>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</si>
  <si>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</si>
  <si>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</si>
  <si>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</si>
  <si>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</si>
  <si>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</si>
  <si>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</si>
  <si>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</si>
  <si>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</si>
  <si>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</si>
  <si>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</si>
  <si>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</si>
  <si>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</si>
  <si>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</si>
  <si>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</si>
  <si>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</si>
  <si>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</si>
  <si>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</si>
  <si>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</si>
  <si>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</si>
  <si>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</si>
  <si>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</si>
  <si>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</si>
  <si>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</si>
  <si>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</si>
  <si>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</si>
  <si>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</si>
  <si>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</si>
  <si>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</si>
  <si>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</si>
  <si>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</si>
  <si>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</si>
  <si>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</si>
  <si>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</si>
  <si>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</si>
  <si>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</si>
  <si>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</si>
  <si>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</si>
  <si>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</si>
  <si>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</si>
  <si>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</si>
  <si>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</si>
  <si>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</si>
  <si>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</si>
  <si>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</si>
  <si>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</si>
  <si>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</si>
  <si>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</si>
  <si>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</si>
  <si>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</si>
  <si>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</si>
  <si>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</si>
  <si>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</si>
  <si>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</si>
  <si>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</si>
  <si>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</si>
  <si>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</si>
  <si>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</si>
  <si>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</si>
  <si>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</si>
  <si>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</si>
  <si>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</si>
  <si>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</si>
  <si>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</si>
  <si>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</si>
  <si>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</si>
  <si>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</si>
  <si>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</si>
  <si>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</si>
  <si>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</si>
  <si>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</si>
  <si>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</si>
  <si>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</si>
  <si>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</si>
  <si>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</si>
  <si>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</si>
  <si>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</si>
  <si>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</si>
  <si>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</si>
  <si>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</si>
  <si>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</si>
  <si>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</si>
  <si>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</si>
  <si>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</si>
  <si>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</si>
  <si>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</si>
  <si>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</si>
  <si>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</si>
  <si>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</si>
  <si>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</si>
  <si>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</si>
  <si>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</si>
  <si>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</si>
  <si>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</si>
  <si>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</si>
  <si>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</si>
  <si>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</si>
  <si>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</si>
  <si>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</si>
  <si>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</si>
  <si>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</si>
  <si>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</si>
  <si>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</si>
  <si>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</si>
  <si>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</si>
  <si>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</si>
  <si>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</si>
  <si>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</si>
  <si>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</si>
  <si>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</si>
  <si>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</si>
  <si>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</si>
  <si>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</si>
  <si>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</si>
  <si>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</si>
  <si>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</si>
  <si>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</si>
  <si>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</si>
  <si>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</si>
  <si>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</si>
  <si>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</si>
  <si>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</si>
  <si>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</si>
  <si>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</si>
  <si>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</si>
  <si>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</si>
  <si>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</si>
  <si>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</si>
  <si>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</si>
  <si>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</si>
  <si>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</si>
  <si>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</si>
  <si>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</si>
  <si>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</si>
  <si>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</si>
  <si>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</si>
  <si>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</si>
  <si>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</si>
  <si>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</si>
  <si>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</si>
  <si>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</si>
  <si>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</si>
  <si>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</si>
  <si>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</si>
  <si>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</si>
  <si>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</si>
  <si>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</si>
  <si>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</si>
  <si>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</si>
  <si>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</si>
  <si>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</si>
  <si>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</si>
  <si>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</si>
  <si>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</si>
  <si>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</si>
  <si>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</si>
  <si>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</si>
  <si>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</si>
  <si>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</si>
  <si>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</si>
  <si>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</si>
  <si>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</si>
  <si>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</si>
  <si>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</si>
  <si>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</si>
  <si>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</si>
  <si>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</si>
  <si>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</si>
  <si>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</si>
  <si>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</si>
  <si>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</si>
  <si>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</si>
  <si>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</si>
  <si>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</si>
  <si>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</si>
  <si>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</si>
  <si>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</si>
  <si>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</si>
  <si>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</si>
  <si>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</si>
  <si>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</si>
  <si>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</si>
  <si>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</si>
  <si>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</si>
  <si>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</si>
  <si>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</si>
  <si>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</si>
  <si>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</si>
  <si>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</si>
  <si>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</si>
  <si>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</si>
  <si>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</si>
  <si>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</si>
  <si>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</si>
  <si>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</si>
  <si>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</si>
  <si>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</si>
  <si>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</si>
  <si>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</si>
  <si>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</si>
  <si>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</si>
  <si>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</si>
  <si>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</si>
  <si>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</si>
  <si>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</si>
  <si>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</si>
  <si>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</si>
  <si>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</si>
  <si>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</si>
  <si>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</si>
  <si>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</si>
  <si>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</si>
  <si>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</si>
  <si>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</si>
  <si>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</si>
  <si>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</si>
  <si>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</si>
  <si>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</si>
  <si>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</si>
  <si>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</si>
  <si>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</si>
  <si>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</si>
  <si>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</si>
  <si>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</si>
  <si>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</si>
  <si>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</si>
  <si>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</si>
  <si>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</si>
  <si>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</si>
  <si>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</si>
  <si>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</si>
  <si>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</si>
  <si>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</si>
  <si>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</si>
  <si>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</si>
  <si>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</si>
  <si>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</si>
  <si>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</si>
  <si>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</si>
  <si>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</si>
  <si>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</si>
  <si>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</si>
  <si>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</si>
  <si>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</si>
  <si>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</si>
  <si>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</si>
  <si>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</si>
  <si>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</si>
  <si>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</si>
  <si>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</si>
  <si>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</si>
  <si>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</si>
  <si>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</si>
  <si>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</si>
  <si>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</si>
  <si>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</si>
  <si>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</si>
  <si>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</si>
  <si>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</si>
  <si>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</si>
  <si>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</si>
  <si>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</si>
  <si>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</si>
  <si>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</si>
  <si>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</si>
  <si>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</si>
  <si>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</si>
  <si>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</si>
  <si>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</si>
  <si>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</si>
  <si>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</si>
  <si>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</si>
  <si>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</si>
  <si>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</si>
  <si>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</si>
  <si>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</si>
  <si>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</si>
  <si>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</si>
  <si>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</si>
  <si>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</si>
  <si>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</si>
  <si>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</si>
  <si>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</si>
  <si>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</si>
  <si>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</si>
  <si>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</si>
  <si>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</si>
  <si>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</si>
  <si>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</si>
  <si>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</si>
  <si>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</si>
  <si>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</si>
  <si>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</si>
  <si>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</si>
  <si>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</si>
  <si>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</si>
  <si>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</si>
  <si>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</si>
  <si>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</si>
  <si>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</si>
  <si>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</si>
  <si>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</si>
  <si>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</si>
  <si>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</si>
  <si>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</si>
  <si>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</si>
  <si>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</si>
  <si>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</si>
  <si>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</si>
  <si>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</si>
  <si>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</si>
  <si>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</si>
  <si>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</si>
  <si>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</si>
  <si>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</si>
  <si>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</si>
  <si>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</si>
  <si>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</si>
  <si>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</si>
  <si>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</si>
  <si>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</si>
  <si>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</si>
  <si>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</si>
  <si>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</si>
  <si>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</si>
  <si>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</si>
  <si>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</si>
  <si>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</si>
  <si>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</si>
  <si>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</si>
  <si>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</si>
  <si>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</si>
  <si>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</si>
  <si>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</si>
  <si>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</si>
  <si>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</si>
  <si>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</si>
  <si>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</si>
  <si>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</si>
  <si>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</si>
  <si>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</si>
  <si>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</si>
  <si>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</si>
  <si>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</si>
  <si>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</si>
  <si>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</si>
  <si>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</si>
  <si>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</si>
  <si>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</si>
  <si>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</si>
  <si>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</si>
  <si>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</si>
  <si>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</si>
  <si>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</si>
  <si>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</si>
  <si>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</si>
  <si>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</si>
  <si>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</si>
  <si>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</si>
  <si>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</si>
  <si>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</si>
  <si>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</si>
  <si>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</si>
  <si>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</si>
  <si>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</si>
  <si>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</si>
  <si>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</si>
  <si>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</si>
  <si>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</si>
  <si>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</si>
  <si>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</si>
  <si>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</si>
  <si>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</si>
  <si>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</si>
  <si>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</si>
  <si>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</si>
  <si>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</si>
  <si>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</si>
  <si>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</si>
  <si>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</si>
  <si>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</si>
  <si>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</si>
  <si>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</si>
  <si>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</si>
  <si>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</si>
  <si>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</si>
  <si>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</si>
  <si>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</si>
  <si>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</si>
  <si>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</si>
  <si>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</si>
  <si>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</si>
  <si>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</si>
  <si>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</si>
  <si>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</si>
  <si>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</si>
  <si>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</si>
  <si>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</si>
  <si>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</si>
  <si>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</si>
  <si>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</si>
  <si>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</si>
  <si>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</si>
  <si>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</si>
  <si>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</si>
  <si>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</si>
  <si>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</si>
  <si>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</si>
  <si>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</si>
  <si>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</si>
  <si>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</si>
  <si>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</si>
  <si>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</si>
  <si>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</si>
  <si>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</si>
  <si>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</si>
  <si>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</si>
  <si>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</si>
  <si>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</si>
  <si>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</si>
  <si>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</si>
  <si>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</si>
  <si>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</si>
  <si>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</si>
  <si>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</si>
  <si>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</si>
  <si>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</si>
  <si>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</si>
  <si>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</si>
  <si>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</si>
  <si>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</si>
  <si>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</si>
  <si>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</si>
  <si>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</si>
  <si>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</si>
  <si>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</si>
  <si>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</si>
  <si>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</si>
  <si>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</si>
  <si>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</si>
  <si>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</si>
  <si>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</si>
  <si>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</si>
  <si>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</si>
  <si>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</si>
  <si>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</si>
  <si>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</si>
  <si>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</si>
  <si>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</si>
  <si>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</si>
  <si>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</si>
  <si>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</si>
  <si>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</si>
  <si>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</si>
  <si>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</si>
  <si>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</si>
  <si>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</si>
  <si>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</si>
  <si>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</si>
  <si>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</si>
  <si>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</si>
  <si>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</si>
  <si>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</si>
  <si>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</si>
  <si>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</si>
  <si>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</si>
  <si>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</si>
  <si>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</si>
  <si>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</si>
  <si>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</si>
  <si>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</si>
  <si>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</si>
  <si>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</si>
  <si>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</si>
  <si>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</si>
  <si>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</si>
  <si>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</si>
  <si>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</si>
  <si>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</si>
  <si>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</si>
  <si>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</si>
  <si>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</si>
  <si>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</si>
  <si>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</si>
  <si>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</si>
  <si>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</si>
  <si>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</si>
  <si>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</si>
  <si>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</si>
  <si>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</si>
  <si>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</si>
  <si>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</si>
  <si>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</si>
  <si>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</si>
  <si>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</si>
  <si>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</si>
  <si>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</si>
  <si>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</si>
  <si>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</si>
  <si>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</si>
  <si>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</si>
  <si>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</si>
  <si>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</si>
  <si>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</si>
  <si>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</si>
  <si>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</si>
  <si>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</si>
  <si>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</si>
  <si>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</si>
  <si>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</si>
  <si>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</si>
  <si>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</si>
  <si>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</si>
  <si>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</si>
  <si>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</si>
  <si>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</si>
  <si>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</si>
  <si>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</si>
  <si>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</si>
  <si>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</si>
  <si>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</si>
  <si>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</si>
  <si>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</si>
  <si>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</si>
  <si>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</si>
  <si>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</si>
  <si>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</si>
  <si>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</si>
  <si>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</si>
  <si>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</si>
  <si>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</si>
  <si>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</si>
  <si>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</si>
  <si>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</si>
  <si>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</si>
  <si>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</si>
  <si>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</si>
  <si>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</si>
  <si>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</si>
  <si>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</si>
  <si>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</si>
  <si>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</si>
  <si>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</si>
  <si>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</si>
  <si>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</si>
  <si>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</si>
  <si>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</si>
  <si>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</si>
  <si>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</si>
  <si>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</si>
  <si>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</si>
  <si>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</si>
  <si>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</si>
  <si>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</si>
  <si>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</si>
  <si>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</si>
  <si>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</si>
  <si>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</si>
  <si>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</si>
  <si>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</si>
  <si>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</si>
  <si>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</si>
  <si>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</si>
  <si>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</si>
  <si>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</si>
  <si>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</si>
  <si>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</si>
  <si>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</si>
  <si>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</si>
  <si>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</si>
  <si>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</si>
  <si>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</si>
  <si>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</si>
  <si>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</si>
  <si>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</si>
  <si>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</si>
  <si>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</si>
  <si>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</si>
  <si>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</si>
  <si>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</si>
  <si>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</si>
  <si>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</si>
  <si>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</si>
  <si>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</si>
  <si>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</si>
  <si>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</si>
  <si>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</si>
  <si>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</si>
  <si>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</si>
  <si>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</si>
  <si>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</si>
  <si>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</si>
  <si>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</si>
  <si>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</si>
  <si>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</si>
  <si>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</si>
  <si>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</si>
  <si>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</si>
  <si>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</si>
  <si>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</si>
  <si>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</si>
  <si>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</si>
  <si>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</si>
  <si>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</si>
  <si>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</si>
  <si>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</si>
  <si>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</si>
  <si>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</si>
  <si>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</si>
  <si>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</si>
  <si>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</si>
  <si>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</si>
  <si>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</si>
  <si>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</si>
  <si>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</si>
  <si>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</si>
  <si>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</si>
  <si>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</si>
  <si>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</si>
  <si>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</si>
  <si>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</si>
  <si>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</si>
  <si>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</si>
  <si>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</si>
  <si>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</si>
  <si>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</si>
  <si>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</si>
  <si>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</si>
  <si>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</si>
  <si>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</si>
  <si>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</si>
  <si>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</si>
  <si>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</si>
  <si>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</si>
  <si>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</si>
  <si>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</si>
  <si>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</si>
  <si>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</si>
  <si>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</si>
  <si>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</si>
  <si>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</si>
  <si>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</si>
  <si>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</si>
  <si>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</si>
  <si>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</si>
  <si>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</si>
  <si>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</si>
  <si>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</si>
  <si>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</si>
  <si>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</si>
  <si>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</si>
  <si>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</si>
  <si>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</si>
  <si>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</si>
  <si>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</si>
  <si>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</si>
  <si>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</si>
  <si>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</si>
  <si>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</si>
  <si>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</si>
  <si>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</si>
  <si>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</si>
  <si>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</si>
  <si>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</si>
  <si>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</si>
  <si>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</si>
  <si>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</si>
  <si>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</si>
  <si>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</si>
  <si>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</si>
  <si>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</si>
  <si>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</si>
  <si>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</si>
  <si>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</si>
  <si>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</si>
  <si>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</si>
  <si>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</si>
  <si>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</si>
  <si>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</si>
  <si>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</si>
  <si>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</si>
  <si>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</si>
  <si>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</si>
  <si>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</si>
  <si>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</si>
  <si>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</si>
  <si>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</si>
  <si>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</si>
  <si>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</si>
  <si>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</si>
  <si>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</si>
  <si>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</si>
  <si>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</si>
  <si>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</si>
  <si>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</si>
  <si>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</si>
  <si>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</si>
  <si>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</si>
  <si>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</si>
  <si>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</si>
  <si>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</si>
  <si>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</si>
  <si>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</si>
  <si>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</si>
  <si>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</si>
  <si>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</si>
  <si>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</si>
  <si>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</si>
  <si>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</si>
  <si>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</si>
  <si>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</si>
  <si>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</si>
  <si>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</si>
  <si>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</si>
  <si>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</si>
  <si>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</si>
  <si>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</si>
  <si>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</si>
  <si>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</si>
  <si>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</si>
  <si>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</si>
  <si>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</si>
  <si>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</si>
  <si>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</si>
  <si>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</si>
  <si>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</si>
  <si>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</si>
  <si>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</si>
  <si>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</si>
  <si>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</si>
  <si>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</si>
  <si>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</si>
  <si>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</si>
  <si>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</si>
  <si>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</si>
  <si>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</si>
  <si>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</si>
  <si>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</si>
  <si>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</si>
  <si>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</si>
  <si>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</si>
  <si>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</si>
  <si>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</si>
  <si>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</si>
  <si>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</si>
  <si>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</si>
  <si>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</si>
  <si>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</si>
  <si>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</si>
  <si>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</si>
  <si>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</si>
  <si>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</si>
  <si>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</si>
  <si>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</si>
  <si>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</si>
  <si>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</si>
  <si>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</si>
  <si>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</si>
  <si>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</si>
  <si>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</si>
  <si>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</si>
  <si>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</si>
  <si>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</si>
  <si>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</si>
  <si>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</si>
  <si>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</si>
  <si>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</si>
  <si>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</si>
  <si>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</si>
  <si>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</si>
  <si>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</si>
  <si>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</si>
  <si>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</si>
  <si>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</si>
  <si>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</si>
  <si>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</si>
  <si>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</si>
  <si>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</si>
  <si>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</si>
  <si>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</si>
  <si>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</si>
  <si>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</si>
  <si>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</si>
  <si>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</si>
  <si>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</si>
  <si>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</si>
  <si>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</si>
  <si>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</si>
  <si>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</si>
  <si>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</si>
  <si>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</si>
  <si>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</si>
  <si>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</si>
  <si>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</si>
  <si>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</si>
  <si>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</si>
  <si>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</si>
  <si>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</si>
  <si>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</si>
  <si>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</si>
  <si>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</si>
  <si>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</si>
  <si>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</si>
  <si>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</si>
  <si>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</si>
  <si>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</si>
  <si>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</si>
  <si>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</si>
  <si>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</si>
  <si>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</si>
  <si>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</si>
  <si>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</si>
  <si>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</si>
  <si>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</si>
  <si>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</si>
  <si>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</si>
  <si>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</si>
  <si>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</si>
  <si>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</si>
  <si>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</si>
  <si>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</si>
  <si>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</si>
  <si>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</si>
  <si>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</si>
  <si>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</si>
  <si>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</si>
  <si>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</si>
  <si>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</si>
  <si>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</si>
  <si>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</si>
  <si>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</si>
  <si>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</si>
  <si>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</si>
  <si>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</si>
  <si>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</si>
  <si>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</si>
  <si>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</si>
  <si>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</si>
  <si>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</si>
  <si>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</si>
  <si>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</si>
  <si>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</si>
  <si>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</si>
  <si>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</si>
  <si>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</si>
  <si>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</si>
  <si>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</si>
  <si>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</si>
  <si>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</si>
  <si>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</si>
  <si>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</si>
  <si>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</si>
  <si>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</si>
  <si>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</si>
  <si>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</si>
  <si>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</si>
  <si>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</si>
  <si>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</si>
  <si>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</si>
  <si>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</si>
  <si>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</si>
  <si>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</si>
  <si>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</si>
  <si>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</si>
  <si>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</si>
  <si>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</si>
  <si>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</si>
  <si>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</si>
  <si>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</si>
  <si>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</si>
  <si>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</si>
  <si>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</si>
  <si>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</si>
  <si>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</si>
  <si>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</si>
  <si>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</si>
  <si>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</si>
  <si>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</si>
  <si>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</si>
  <si>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</si>
  <si>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</si>
  <si>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</si>
  <si>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</si>
  <si>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</si>
  <si>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</si>
  <si>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</si>
  <si>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</si>
  <si>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</si>
  <si>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</si>
  <si>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</si>
  <si>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</si>
  <si>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</si>
  <si>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</si>
  <si>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</si>
  <si>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</si>
  <si>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</si>
  <si>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</si>
  <si>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</si>
  <si>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</si>
  <si>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</si>
  <si>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</si>
  <si>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</si>
  <si>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</si>
  <si>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</si>
  <si>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</si>
  <si>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</si>
  <si>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</si>
  <si>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</si>
  <si>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</si>
  <si>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</si>
  <si>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</si>
  <si>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</si>
  <si>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</si>
  <si>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</si>
  <si>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</si>
  <si>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</si>
  <si>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</si>
  <si>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</si>
  <si>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</si>
  <si>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</si>
  <si>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</si>
  <si>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</si>
  <si>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</si>
  <si>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</si>
  <si>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</si>
  <si>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</si>
  <si>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</si>
  <si>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</si>
  <si>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</si>
  <si>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</si>
  <si>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</si>
  <si>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</si>
  <si>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</si>
  <si>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</si>
  <si>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</si>
  <si>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</si>
  <si>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</si>
  <si>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</si>
  <si>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</si>
  <si>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</si>
  <si>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</si>
  <si>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</si>
  <si>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</si>
  <si>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</si>
  <si>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</si>
  <si>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</si>
  <si>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</si>
  <si>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</si>
  <si>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</si>
  <si>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</si>
  <si>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</si>
  <si>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</si>
  <si>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</si>
  <si>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</si>
  <si>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</si>
  <si>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</si>
  <si>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</si>
  <si>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</si>
  <si>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</si>
  <si>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</si>
  <si>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</si>
  <si>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</si>
  <si>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</si>
  <si>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</si>
  <si>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</si>
  <si>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</si>
  <si>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</si>
  <si>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</si>
  <si>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</si>
  <si>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</si>
  <si>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</si>
  <si>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</si>
  <si>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</si>
  <si>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</si>
  <si>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</si>
  <si>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</si>
  <si>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</si>
  <si>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</si>
  <si>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</si>
  <si>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</si>
  <si>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</si>
  <si>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</si>
  <si>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</si>
  <si>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</si>
  <si>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</si>
  <si>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</si>
  <si>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</si>
  <si>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</si>
  <si>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</si>
  <si>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</si>
  <si>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</si>
  <si>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</si>
  <si>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</si>
  <si>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</si>
  <si>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</si>
  <si>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</si>
  <si>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</si>
  <si>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</si>
  <si>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</si>
  <si>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</si>
  <si>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</si>
  <si>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</si>
  <si>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</si>
  <si>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</si>
  <si>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</si>
  <si>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</si>
  <si>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</si>
  <si>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</si>
  <si>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</si>
  <si>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</si>
  <si>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</si>
  <si>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</si>
  <si>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</si>
  <si>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</si>
  <si>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</si>
  <si>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</si>
  <si>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</si>
  <si>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</si>
  <si>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</si>
  <si>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</si>
  <si>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</si>
  <si>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</si>
  <si>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</si>
  <si>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</si>
  <si>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</si>
  <si>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</si>
  <si>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</si>
  <si>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</si>
  <si>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</si>
  <si>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</si>
  <si>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</si>
  <si>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</si>
  <si>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</si>
  <si>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</si>
  <si>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</si>
  <si>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</si>
  <si>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</si>
  <si>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</si>
  <si>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</si>
  <si>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</si>
  <si>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</si>
  <si>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</si>
  <si>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</si>
  <si>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</si>
  <si>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</si>
  <si>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</si>
  <si>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</si>
  <si>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</si>
  <si>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</si>
  <si>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</si>
  <si>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</si>
  <si>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</si>
  <si>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</si>
  <si>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</si>
  <si>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</si>
  <si>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</si>
  <si>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</si>
  <si>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</si>
  <si>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</si>
  <si>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</si>
  <si>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</si>
  <si>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</si>
  <si>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</si>
  <si>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</si>
  <si>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</si>
  <si>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</si>
  <si>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</si>
  <si>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</si>
  <si>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</si>
  <si>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</si>
  <si>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</si>
  <si>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</si>
  <si>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</si>
  <si>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</si>
  <si>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</si>
  <si>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</si>
  <si>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</si>
  <si>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</si>
  <si>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</si>
  <si>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</si>
  <si>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</si>
  <si>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</si>
  <si>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</si>
  <si>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</si>
  <si>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</si>
  <si>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</si>
  <si>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</si>
  <si>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</si>
  <si>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</si>
  <si>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</si>
  <si>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</si>
  <si>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</si>
  <si>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</si>
  <si>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</si>
  <si>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</si>
  <si>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</si>
  <si>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</si>
  <si>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</si>
  <si>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</si>
  <si>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</si>
  <si>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</si>
  <si>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</si>
  <si>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</si>
  <si>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</si>
  <si>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</si>
  <si>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</si>
  <si>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</si>
  <si>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</si>
  <si>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</si>
  <si>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</si>
  <si>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</si>
  <si>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</si>
  <si>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</si>
  <si>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</si>
  <si>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</si>
  <si>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</si>
  <si>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</si>
  <si>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</si>
  <si>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</si>
  <si>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</si>
  <si>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</si>
  <si>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</si>
  <si>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</si>
  <si>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</si>
  <si>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</si>
  <si>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</si>
  <si>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</si>
  <si>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</si>
  <si>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</si>
  <si>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</si>
  <si>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</si>
  <si>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</si>
  <si>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</si>
  <si>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</si>
  <si>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</si>
  <si>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</si>
  <si>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</si>
  <si>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</si>
  <si>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</si>
  <si>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</si>
  <si>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</si>
  <si>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</si>
  <si>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</si>
  <si>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</si>
  <si>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</si>
  <si>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</si>
  <si>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</si>
  <si>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</si>
  <si>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</si>
  <si>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</si>
  <si>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</si>
  <si>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</si>
  <si>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</si>
  <si>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</si>
  <si>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</si>
  <si>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</si>
  <si>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</si>
  <si>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</si>
  <si>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</si>
  <si>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</si>
  <si>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</si>
  <si>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</si>
  <si>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</si>
  <si>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</si>
  <si>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</si>
  <si>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</si>
  <si>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</si>
  <si>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</si>
  <si>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</si>
  <si>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</si>
  <si>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</si>
  <si>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</si>
  <si>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</si>
  <si>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</si>
  <si>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</si>
  <si>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</si>
  <si>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</si>
  <si>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</si>
  <si>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</si>
  <si>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</si>
  <si>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</si>
  <si>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</si>
  <si>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</si>
  <si>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</si>
  <si>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</si>
  <si>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</si>
  <si>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</si>
  <si>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</si>
  <si>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</si>
  <si>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</si>
  <si>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</si>
  <si>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</si>
  <si>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</si>
  <si>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</si>
  <si>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</si>
  <si>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</si>
  <si>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</si>
  <si>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</si>
  <si>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</si>
  <si>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</si>
  <si>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</si>
  <si>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</si>
  <si>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</si>
  <si>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</si>
  <si>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</si>
  <si>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</si>
  <si>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</si>
  <si>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</si>
  <si>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</si>
  <si>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</si>
  <si>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</si>
  <si>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</si>
  <si>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</si>
  <si>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</si>
  <si>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</si>
  <si>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</si>
  <si>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</si>
  <si>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</si>
  <si>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</si>
  <si>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</si>
  <si>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</si>
  <si>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</si>
  <si>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</si>
  <si>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</si>
  <si>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</si>
  <si>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</si>
  <si>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</si>
  <si>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</si>
  <si>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</si>
  <si>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</si>
  <si>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</si>
  <si>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</si>
  <si>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</si>
  <si>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</si>
  <si>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</si>
  <si>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</si>
  <si>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</si>
  <si>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</si>
  <si>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</si>
  <si>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</si>
  <si>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</si>
  <si>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</si>
  <si>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</si>
  <si>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</si>
  <si>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</si>
  <si>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</si>
  <si>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</si>
  <si>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</si>
  <si>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</si>
  <si>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</si>
  <si>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</si>
  <si>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</si>
  <si>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</si>
  <si>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</si>
  <si>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</si>
  <si>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</si>
  <si>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</si>
  <si>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</si>
  <si>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</si>
  <si>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</si>
  <si>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</si>
  <si>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</si>
  <si>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</si>
  <si>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</si>
  <si>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</si>
  <si>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</si>
  <si>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</si>
  <si>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</si>
  <si>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</si>
  <si>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</si>
  <si>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</si>
  <si>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</si>
  <si>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</si>
  <si>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</si>
  <si>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</si>
  <si>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</si>
  <si>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</si>
  <si>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</si>
  <si>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</si>
  <si>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</si>
  <si>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</si>
  <si>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</si>
  <si>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</si>
  <si>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</si>
  <si>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</si>
  <si>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</si>
  <si>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</si>
  <si>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</si>
  <si>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</si>
  <si>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</si>
  <si>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</si>
  <si>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</si>
  <si>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</si>
  <si>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</si>
  <si>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</si>
  <si>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</si>
  <si>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</si>
  <si>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</si>
  <si>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</si>
  <si>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</si>
  <si>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</si>
  <si>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</si>
  <si>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</si>
  <si>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</si>
  <si>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</si>
  <si>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</si>
  <si>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</si>
  <si>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</si>
  <si>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</si>
  <si>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</si>
  <si>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</si>
  <si>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</si>
  <si>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</si>
  <si>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</si>
  <si>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</si>
  <si>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</si>
  <si>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</si>
  <si>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</si>
  <si>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</si>
  <si>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</si>
  <si>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</si>
  <si>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</si>
  <si>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</si>
  <si>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</si>
  <si>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</si>
  <si>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</si>
  <si>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</si>
  <si>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</si>
  <si>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</si>
  <si>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</si>
  <si>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</si>
  <si>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</si>
  <si>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</si>
  <si>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</si>
  <si>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</si>
  <si>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</si>
  <si>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</si>
  <si>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</si>
  <si>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</si>
  <si>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</si>
  <si>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</si>
  <si>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</si>
  <si>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</si>
  <si>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</si>
  <si>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</si>
  <si>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</si>
  <si>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</si>
  <si>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</si>
  <si>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</si>
  <si>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</si>
  <si>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</si>
  <si>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</si>
  <si>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</si>
  <si>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</si>
  <si>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</si>
  <si>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</si>
  <si>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</si>
  <si>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</si>
  <si>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</si>
  <si>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</si>
  <si>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</si>
  <si>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</si>
  <si>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</si>
  <si>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</si>
  <si>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</si>
  <si>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</si>
  <si>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</si>
  <si>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</si>
  <si>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</si>
  <si>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</si>
  <si>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</si>
  <si>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</si>
  <si>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</si>
  <si>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</si>
  <si>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</si>
  <si>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</si>
  <si>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</si>
  <si>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</si>
  <si>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</si>
  <si>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</si>
  <si>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</si>
  <si>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</si>
  <si>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</si>
  <si>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</si>
  <si>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</si>
  <si>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</si>
  <si>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</si>
  <si>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</si>
  <si>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</si>
  <si>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</si>
  <si>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</si>
  <si>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</si>
  <si>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</si>
  <si>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</si>
  <si>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</si>
  <si>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</si>
  <si>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</si>
  <si>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</si>
  <si>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</si>
  <si>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</si>
  <si>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</si>
  <si>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</si>
  <si>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</si>
  <si>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</si>
  <si>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</si>
  <si>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</si>
  <si>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</si>
  <si>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</si>
  <si>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</si>
  <si>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</si>
  <si>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</si>
  <si>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</si>
  <si>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</si>
  <si>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</si>
  <si>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</si>
  <si>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</si>
  <si>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</si>
  <si>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</si>
  <si>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</si>
  <si>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</si>
  <si>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</si>
  <si>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</si>
  <si>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</si>
  <si>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</si>
  <si>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</si>
  <si>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</si>
  <si>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</si>
  <si>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</si>
  <si>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</si>
  <si>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</si>
  <si>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</si>
  <si>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</si>
  <si>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</si>
  <si>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</si>
  <si>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</si>
  <si>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</si>
  <si>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</si>
  <si>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</si>
  <si>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</si>
  <si>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</si>
  <si>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</si>
  <si>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</si>
  <si>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</si>
  <si>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</si>
  <si>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</si>
  <si>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</si>
  <si>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</si>
  <si>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</si>
  <si>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</si>
  <si>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</si>
  <si>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</si>
  <si>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</si>
  <si>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</si>
  <si>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</si>
  <si>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</si>
  <si>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</si>
  <si>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</si>
  <si>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</si>
  <si>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</si>
  <si>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</si>
  <si>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</si>
  <si>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</si>
  <si>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</si>
  <si>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</si>
  <si>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</si>
  <si>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</si>
  <si>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</si>
  <si>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</si>
  <si>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</si>
  <si>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</si>
  <si>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</si>
  <si>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</si>
  <si>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</si>
  <si>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</si>
  <si>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</si>
  <si>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</si>
  <si>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</si>
  <si>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</si>
  <si>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</si>
  <si>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</si>
  <si>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</si>
  <si>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</si>
  <si>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</si>
  <si>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</si>
  <si>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</si>
  <si>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</si>
  <si>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</si>
  <si>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</si>
  <si>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</si>
  <si>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</si>
  <si>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</si>
  <si>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</si>
  <si>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</si>
  <si>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</si>
  <si>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</si>
  <si>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</si>
  <si>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</si>
  <si>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</si>
  <si>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</si>
  <si>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</si>
  <si>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</si>
  <si>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</si>
  <si>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</si>
  <si>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</si>
  <si>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</si>
  <si>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</si>
  <si>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</si>
  <si>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</si>
  <si>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</si>
  <si>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</si>
  <si>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</si>
  <si>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</si>
  <si>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</si>
  <si>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</si>
  <si>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</si>
  <si>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</si>
  <si>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</si>
  <si>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</si>
  <si>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</si>
  <si>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</si>
  <si>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</si>
  <si>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</si>
  <si>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</si>
  <si>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</si>
  <si>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</si>
  <si>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</si>
  <si>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</si>
  <si>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</si>
  <si>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</si>
  <si>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</si>
  <si>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</si>
  <si>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</si>
  <si>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</si>
  <si>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</si>
  <si>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</si>
  <si>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</si>
  <si>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</si>
  <si>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</si>
  <si>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</si>
  <si>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</si>
  <si>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</si>
  <si>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</si>
  <si>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</si>
  <si>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</si>
  <si>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</si>
  <si>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</si>
  <si>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</si>
  <si>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</si>
  <si>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</si>
  <si>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</si>
  <si>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</si>
  <si>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</si>
  <si>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</si>
  <si>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</si>
  <si>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</si>
  <si>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</si>
  <si>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</si>
  <si>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</si>
  <si>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</si>
  <si>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</si>
  <si>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</si>
  <si>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</si>
  <si>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</si>
  <si>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</si>
  <si>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</si>
  <si>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</si>
  <si>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</si>
  <si>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</si>
  <si>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</si>
  <si>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</si>
  <si>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</si>
  <si>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</si>
  <si>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</si>
  <si>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</si>
  <si>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</si>
  <si>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</si>
  <si>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</si>
  <si>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</si>
  <si>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</si>
  <si>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</si>
  <si>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</si>
  <si>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</si>
  <si>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</si>
  <si>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</si>
  <si>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</si>
  <si>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</si>
  <si>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</si>
  <si>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</si>
  <si>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</si>
  <si>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</si>
  <si>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</si>
  <si>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</si>
  <si>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</si>
  <si>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</si>
  <si>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</si>
  <si>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</si>
  <si>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</si>
  <si>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</si>
  <si>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</si>
  <si>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</si>
  <si>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</si>
  <si>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</si>
  <si>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</si>
  <si>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</si>
  <si>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</si>
  <si>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</si>
  <si>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</si>
  <si>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</si>
  <si>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</si>
  <si>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</si>
  <si>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</si>
  <si>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</si>
  <si>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</si>
  <si>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</si>
  <si>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</si>
  <si>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</si>
  <si>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</si>
  <si>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</si>
  <si>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</si>
  <si>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</si>
  <si>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</si>
  <si>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</si>
  <si>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</si>
  <si>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</si>
  <si>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</si>
  <si>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</si>
  <si>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</si>
  <si>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</si>
  <si>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</si>
  <si>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</si>
  <si>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</si>
  <si>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</si>
  <si>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</si>
  <si>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</si>
  <si>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</si>
  <si>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</si>
  <si>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</si>
  <si>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</si>
  <si>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</si>
  <si>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</si>
  <si>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</si>
  <si>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</si>
  <si>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</si>
  <si>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</si>
  <si>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</si>
  <si>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</si>
  <si>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</si>
  <si>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</si>
  <si>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</si>
  <si>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</si>
  <si>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</si>
  <si>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</si>
  <si>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</si>
  <si>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</si>
  <si>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</si>
  <si>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</si>
  <si>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</si>
  <si>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</si>
  <si>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</si>
  <si>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</si>
  <si>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</si>
  <si>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</si>
  <si>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</si>
  <si>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</si>
  <si>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</si>
  <si>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</si>
  <si>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</si>
  <si>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</si>
  <si>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</si>
  <si>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</si>
  <si>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</si>
  <si>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</si>
  <si>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</si>
  <si>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</si>
  <si>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</si>
  <si>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</si>
  <si>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</si>
  <si>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</si>
  <si>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</si>
  <si>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</si>
  <si>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</si>
  <si>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</si>
  <si>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</si>
  <si>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</si>
  <si>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</si>
  <si>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</si>
  <si>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</si>
  <si>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</si>
  <si>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</si>
  <si>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</si>
  <si>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</si>
  <si>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</si>
  <si>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</si>
  <si>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</si>
  <si>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</si>
  <si>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</si>
  <si>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</si>
  <si>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</si>
  <si>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</si>
  <si>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</si>
  <si>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</si>
  <si>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</si>
  <si>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</si>
  <si>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</si>
  <si>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</si>
  <si>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</si>
  <si>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</si>
  <si>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</si>
  <si>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</si>
  <si>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</si>
  <si>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</si>
  <si>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</si>
  <si>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</si>
  <si>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</si>
  <si>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</si>
  <si>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</si>
  <si>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</si>
  <si>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</si>
  <si>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</si>
  <si>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</si>
  <si>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</si>
  <si>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</si>
  <si>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</si>
  <si>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</si>
  <si>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</si>
  <si>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</si>
  <si>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</si>
  <si>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</si>
  <si>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</si>
  <si>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</si>
  <si>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</si>
  <si>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</si>
  <si>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</si>
  <si>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</si>
  <si>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</si>
  <si>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</si>
  <si>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</si>
  <si>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</si>
  <si>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</si>
  <si>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</si>
  <si>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</si>
  <si>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</si>
  <si>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</si>
  <si>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</si>
  <si>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</si>
  <si>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</si>
  <si>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</si>
  <si>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</si>
  <si>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</si>
  <si>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</si>
  <si>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</si>
  <si>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</si>
  <si>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</si>
  <si>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</si>
  <si>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</si>
  <si>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</si>
  <si>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</si>
  <si>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</si>
  <si>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</si>
  <si>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</si>
  <si>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</si>
  <si>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</si>
  <si>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</si>
  <si>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</si>
  <si>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</si>
  <si>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</si>
  <si>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</si>
  <si>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</si>
  <si>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</si>
  <si>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</si>
  <si>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</si>
  <si>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</si>
  <si>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</si>
  <si>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</si>
  <si>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</si>
  <si>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</si>
  <si>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</si>
  <si>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</si>
  <si>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</si>
  <si>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</si>
  <si>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</si>
  <si>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</si>
  <si>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</si>
  <si>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</si>
  <si>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</si>
  <si>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</si>
  <si>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</si>
  <si>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</si>
  <si>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</si>
  <si>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</si>
  <si>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</si>
  <si>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</si>
  <si>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</si>
  <si>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</si>
  <si>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</si>
  <si>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</si>
  <si>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</si>
  <si>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</si>
  <si>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</si>
  <si>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</si>
  <si>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</si>
  <si>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</si>
  <si>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</si>
  <si>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</si>
  <si>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</si>
  <si>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</si>
  <si>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</si>
  <si>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</si>
  <si>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</si>
  <si>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</si>
  <si>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</si>
  <si>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</si>
  <si>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</si>
  <si>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</si>
  <si>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</si>
  <si>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</si>
  <si>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</si>
  <si>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</si>
  <si>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</si>
  <si>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</si>
  <si>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</si>
  <si>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</si>
  <si>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</si>
  <si>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</si>
  <si>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</si>
  <si>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</si>
  <si>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</si>
  <si>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</si>
  <si>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</si>
  <si>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</si>
  <si>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</si>
  <si>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</si>
  <si>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</si>
  <si>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</si>
  <si>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</si>
  <si>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</si>
  <si>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</si>
  <si>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</si>
  <si>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</si>
  <si>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</si>
  <si>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</si>
  <si>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</si>
  <si>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</si>
  <si>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</si>
  <si>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</si>
  <si>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</si>
  <si>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</si>
  <si>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</si>
  <si>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</si>
  <si>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</si>
  <si>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</si>
  <si>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</si>
  <si>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</si>
  <si>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</si>
  <si>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</si>
  <si>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</si>
  <si>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</si>
  <si>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</si>
  <si>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</si>
  <si>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</si>
  <si>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</si>
  <si>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</si>
  <si>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</si>
  <si>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</si>
  <si>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</si>
  <si>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</si>
  <si>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</si>
  <si>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</si>
  <si>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</si>
  <si>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</si>
  <si>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</si>
  <si>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</si>
  <si>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</si>
  <si>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</si>
  <si>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</si>
  <si>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</si>
  <si>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</si>
  <si>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</si>
  <si>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</si>
  <si>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</si>
  <si>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</si>
  <si>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</si>
  <si>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</si>
  <si>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</si>
  <si>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</si>
  <si>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</si>
  <si>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</si>
  <si>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</si>
  <si>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</si>
  <si>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</si>
  <si>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</si>
  <si>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</si>
  <si>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</si>
  <si>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</si>
  <si>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</si>
  <si>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</si>
  <si>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</si>
  <si>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</si>
  <si>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</si>
  <si>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</si>
  <si>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</si>
  <si>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</si>
  <si>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</si>
  <si>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</si>
  <si>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</si>
  <si>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</si>
  <si>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</si>
  <si>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</si>
  <si>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</si>
  <si>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</si>
  <si>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</si>
  <si>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</si>
  <si>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</si>
  <si>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</si>
  <si>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</si>
  <si>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</si>
  <si>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</si>
  <si>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</si>
  <si>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</si>
  <si>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</si>
  <si>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</si>
  <si>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</si>
  <si>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</si>
  <si>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</si>
  <si>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</si>
  <si>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</si>
  <si>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</si>
  <si>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</si>
  <si>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</si>
  <si>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</si>
  <si>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</si>
  <si>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</si>
  <si>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</si>
  <si>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</si>
  <si>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</si>
  <si>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</si>
  <si>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</si>
  <si>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</si>
  <si>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</si>
  <si>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</si>
  <si>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</si>
  <si>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</si>
  <si>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</si>
  <si>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</si>
  <si>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</si>
  <si>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</si>
  <si>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</si>
  <si>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</si>
  <si>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</si>
  <si>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</si>
  <si>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</si>
  <si>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</si>
  <si>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</si>
  <si>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</si>
  <si>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</si>
  <si>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</si>
  <si>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</si>
  <si>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</si>
  <si>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</si>
  <si>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</si>
  <si>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</si>
  <si>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</si>
  <si>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</si>
  <si>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</si>
  <si>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</si>
  <si>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</si>
  <si>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</si>
  <si>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</si>
  <si>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</si>
  <si>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</si>
  <si>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</si>
  <si>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</si>
  <si>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</si>
  <si>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</si>
  <si>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</si>
  <si>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</si>
  <si>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</si>
  <si>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</si>
  <si>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</si>
  <si>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</si>
  <si>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</si>
  <si>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</si>
  <si>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</si>
  <si>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</si>
  <si>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</si>
  <si>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</si>
  <si>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</si>
  <si>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</si>
  <si>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</si>
  <si>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</si>
  <si>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</si>
  <si>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</si>
  <si>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</si>
  <si>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</si>
  <si>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</si>
  <si>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</si>
  <si>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</si>
  <si>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</si>
  <si>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</si>
  <si>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</si>
  <si>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</si>
  <si>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</si>
  <si>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</si>
  <si>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</si>
  <si>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</si>
  <si>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</si>
  <si>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</si>
  <si>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</si>
  <si>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</si>
  <si>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</si>
  <si>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</si>
  <si>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</si>
  <si>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</si>
  <si>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</si>
  <si>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</si>
  <si>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</si>
  <si>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</si>
  <si>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</si>
  <si>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</si>
  <si>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</si>
  <si>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</si>
  <si>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</si>
  <si>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</si>
  <si>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</si>
  <si>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</si>
  <si>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</si>
  <si>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</si>
  <si>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</si>
  <si>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</si>
  <si>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</si>
  <si>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</si>
  <si>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</si>
  <si>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</si>
  <si>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</si>
  <si>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</si>
  <si>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</si>
  <si>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</si>
  <si>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</si>
  <si>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</si>
  <si>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</si>
  <si>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</si>
  <si>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</si>
  <si>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</si>
  <si>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</si>
  <si>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</si>
  <si>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</si>
  <si>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</si>
  <si>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</si>
  <si>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</si>
  <si>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</si>
  <si>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</si>
  <si>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</si>
  <si>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</si>
  <si>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</si>
  <si>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</si>
  <si>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</si>
  <si>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</si>
  <si>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</si>
  <si>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</si>
  <si>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</si>
  <si>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</si>
  <si>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</si>
  <si>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</si>
  <si>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</si>
  <si>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</si>
  <si>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</si>
  <si>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</si>
  <si>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</si>
  <si>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</si>
  <si>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</si>
  <si>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</si>
  <si>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</si>
  <si>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</si>
  <si>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</si>
  <si>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</si>
  <si>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</si>
  <si>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</si>
  <si>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</si>
  <si>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</si>
  <si>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</si>
  <si>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</si>
  <si>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</si>
  <si>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</si>
  <si>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</si>
  <si>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</si>
  <si>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</si>
  <si>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</si>
  <si>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</si>
  <si>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</si>
  <si>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</si>
  <si>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</si>
  <si>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</si>
  <si>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</si>
  <si>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</si>
  <si>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</si>
  <si>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</si>
  <si>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</si>
  <si>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</si>
  <si>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</si>
  <si>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</si>
  <si>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</si>
  <si>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</si>
  <si>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</si>
  <si>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</si>
  <si>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</si>
  <si>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</si>
  <si>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</si>
  <si>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</si>
  <si>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</si>
  <si>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</si>
  <si>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</si>
  <si>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</si>
  <si>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</si>
  <si>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</si>
  <si>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</si>
  <si>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</si>
  <si>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</si>
  <si>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</si>
  <si>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</si>
  <si>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</si>
  <si>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</si>
  <si>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</si>
  <si>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</si>
  <si>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</si>
  <si>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</si>
  <si>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</si>
  <si>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</si>
  <si>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</si>
  <si>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</si>
  <si>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</si>
  <si>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</si>
  <si>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</si>
  <si>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</si>
  <si>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</si>
  <si>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</si>
  <si>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</si>
  <si>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</si>
  <si>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</si>
  <si>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</si>
  <si>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</si>
  <si>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</si>
  <si>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</si>
  <si>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</si>
  <si>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</si>
  <si>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</si>
  <si>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</si>
  <si>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</si>
  <si>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</si>
  <si>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</si>
  <si>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</si>
  <si>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</si>
  <si>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</si>
  <si>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</si>
  <si>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</si>
  <si>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</si>
  <si>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</si>
  <si>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</si>
  <si>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</si>
  <si>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</si>
  <si>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</si>
  <si>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</si>
  <si>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</si>
  <si>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</si>
  <si>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</si>
  <si>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</si>
  <si>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</si>
  <si>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</si>
  <si>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</si>
  <si>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</si>
  <si>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</si>
  <si>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</si>
  <si>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</si>
  <si>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</si>
  <si>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</si>
  <si>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</si>
  <si>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</si>
  <si>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</si>
  <si>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</si>
  <si>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</si>
  <si>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</si>
  <si>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</si>
  <si>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</si>
  <si>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</si>
  <si>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</si>
  <si>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</si>
  <si>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</si>
  <si>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</si>
  <si>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</si>
  <si>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</si>
  <si>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</si>
  <si>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</si>
  <si>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</si>
  <si>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</si>
  <si>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</si>
  <si>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</si>
  <si>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</si>
  <si>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</si>
  <si>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</si>
  <si>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</si>
  <si>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</si>
  <si>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</si>
  <si>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</si>
  <si>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</si>
  <si>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</si>
  <si>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</si>
  <si>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</si>
  <si>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</si>
  <si>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</si>
  <si>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</si>
  <si>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</si>
  <si>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</si>
  <si>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</si>
  <si>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</si>
  <si>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</si>
  <si>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</si>
  <si>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</si>
  <si>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</si>
  <si>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</si>
  <si>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</si>
  <si>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</si>
  <si>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</si>
  <si>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</si>
  <si>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</si>
  <si>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</si>
  <si>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</si>
  <si>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</si>
  <si>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</si>
  <si>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</si>
  <si>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</si>
  <si>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</si>
  <si>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</si>
  <si>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</si>
  <si>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</si>
  <si>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</si>
  <si>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</si>
  <si>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</si>
  <si>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</si>
  <si>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</si>
  <si>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</si>
  <si>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</si>
  <si>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</si>
  <si>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</si>
  <si>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</si>
  <si>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</si>
  <si>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</si>
  <si>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</si>
  <si>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</si>
  <si>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</si>
  <si>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</si>
  <si>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</si>
  <si>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</si>
  <si>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</si>
  <si>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</si>
  <si>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</si>
  <si>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</si>
  <si>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</si>
  <si>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</si>
  <si>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</si>
  <si>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</si>
  <si>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</si>
  <si>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</si>
  <si>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</si>
  <si>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</si>
  <si>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</si>
  <si>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</si>
  <si>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</si>
  <si>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</si>
  <si>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</si>
  <si>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</si>
  <si>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</si>
  <si>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</si>
  <si>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</si>
  <si>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</si>
  <si>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</si>
  <si>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</si>
  <si>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</si>
  <si>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</si>
  <si>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</si>
  <si>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</si>
  <si>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</si>
  <si>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</si>
  <si>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</si>
  <si>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</si>
  <si>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</si>
  <si>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</si>
  <si>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</si>
  <si>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</si>
  <si>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</si>
  <si>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</si>
  <si>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</si>
  <si>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</si>
  <si>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</si>
  <si>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</si>
  <si>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</si>
  <si>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</si>
  <si>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</si>
  <si>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</si>
  <si>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</si>
  <si>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</si>
  <si>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</si>
  <si>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</si>
  <si>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</si>
  <si>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</si>
  <si>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</si>
  <si>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</si>
  <si>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</si>
  <si>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</si>
  <si>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</si>
  <si>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</si>
  <si>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</si>
  <si>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</si>
  <si>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</si>
  <si>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</si>
  <si>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</si>
  <si>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</si>
  <si>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</si>
  <si>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</si>
  <si>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</si>
  <si>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</si>
  <si>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</si>
  <si>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</si>
  <si>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</si>
  <si>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</si>
  <si>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</si>
  <si>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</si>
  <si>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</si>
  <si>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</si>
  <si>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</si>
  <si>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</si>
  <si>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</si>
  <si>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</si>
  <si>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</si>
  <si>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</si>
  <si>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</si>
  <si>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</si>
  <si>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</si>
  <si>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</si>
  <si>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</si>
  <si>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</si>
  <si>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</si>
  <si>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</si>
  <si>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</si>
  <si>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</si>
  <si>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</si>
  <si>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</si>
  <si>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</si>
  <si>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</si>
  <si>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</si>
  <si>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</si>
  <si>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</si>
  <si>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</si>
  <si>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</si>
  <si>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</si>
  <si>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</si>
  <si>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</si>
  <si>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</si>
  <si>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</si>
  <si>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</si>
  <si>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</si>
  <si>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</si>
  <si>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</si>
  <si>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</si>
  <si>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</si>
  <si>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</si>
  <si>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</si>
  <si>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</si>
  <si>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</si>
  <si>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</si>
  <si>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</si>
  <si>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</si>
  <si>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</si>
  <si>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</si>
  <si>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</si>
  <si>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</si>
  <si>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</si>
  <si>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</si>
  <si>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</si>
  <si>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</si>
  <si>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</si>
  <si>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</si>
  <si>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</si>
  <si>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</si>
  <si>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</si>
  <si>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</si>
  <si>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</si>
  <si>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</si>
  <si>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</si>
  <si>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</si>
  <si>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</si>
  <si>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</si>
  <si>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</si>
  <si>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</si>
  <si>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</si>
  <si>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</si>
  <si>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</si>
  <si>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</si>
  <si>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</si>
  <si>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</si>
  <si>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</si>
  <si>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</si>
  <si>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</si>
  <si>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</si>
  <si>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</si>
  <si>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</si>
  <si>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</si>
  <si>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</si>
  <si>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</si>
  <si>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</si>
  <si>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</si>
  <si>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</si>
  <si>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</si>
  <si>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</si>
  <si>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</si>
  <si>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</si>
  <si>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</si>
  <si>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</si>
  <si>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</si>
  <si>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</si>
  <si>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</si>
  <si>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</si>
  <si>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</si>
  <si>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</si>
  <si>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</si>
  <si>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</si>
  <si>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</si>
  <si>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</si>
  <si>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</si>
  <si>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</si>
  <si>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</si>
  <si>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</si>
  <si>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</si>
  <si>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</si>
  <si>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</si>
  <si>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</si>
  <si>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</si>
  <si>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</si>
  <si>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</si>
  <si>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</si>
  <si>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</si>
  <si>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</si>
  <si>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</si>
  <si>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</si>
  <si>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</si>
  <si>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</si>
  <si>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</si>
  <si>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</si>
  <si>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</si>
  <si>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</si>
  <si>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</si>
  <si>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</si>
  <si>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</si>
  <si>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</si>
  <si>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</si>
  <si>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</si>
  <si>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</si>
  <si>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</si>
  <si>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</si>
  <si>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</si>
  <si>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</si>
  <si>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</si>
  <si>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</si>
  <si>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</si>
  <si>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</si>
  <si>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</si>
  <si>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</si>
  <si>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</si>
  <si>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</si>
  <si>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</si>
  <si>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</si>
  <si>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</si>
  <si>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</si>
  <si>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</si>
  <si>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</si>
  <si>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</si>
  <si>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</si>
  <si>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</si>
  <si>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</si>
  <si>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</si>
  <si>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</si>
  <si>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</si>
  <si>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</si>
  <si>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</si>
  <si>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</si>
  <si>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</si>
  <si>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</si>
  <si>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</si>
  <si>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</si>
  <si>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</si>
  <si>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</si>
  <si>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</si>
  <si>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</si>
  <si>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</si>
  <si>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</si>
  <si>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</si>
  <si>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</si>
  <si>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</si>
  <si>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</si>
  <si>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</si>
  <si>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</si>
  <si>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</si>
  <si>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</si>
  <si>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</si>
  <si>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</si>
  <si>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</si>
  <si>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</si>
  <si>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</si>
  <si>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</si>
  <si>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</si>
  <si>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</si>
  <si>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</si>
  <si>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</si>
  <si>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</si>
  <si>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</si>
  <si>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</si>
  <si>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</si>
  <si>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</si>
  <si>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</si>
  <si>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</si>
  <si>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</si>
  <si>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</si>
  <si>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</si>
  <si>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</si>
  <si>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</si>
  <si>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</si>
  <si>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</si>
  <si>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</si>
  <si>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</si>
  <si>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</si>
  <si>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</si>
  <si>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</si>
  <si>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</si>
  <si>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</si>
  <si>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</si>
  <si>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</si>
  <si>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</si>
  <si>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</si>
  <si>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</si>
  <si>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</si>
  <si>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</si>
  <si>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</si>
  <si>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</si>
  <si>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</si>
  <si>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</si>
  <si>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</si>
  <si>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</si>
  <si>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</si>
  <si>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</si>
  <si>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</si>
  <si>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</si>
  <si>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</si>
  <si>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</si>
  <si>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</si>
  <si>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</si>
  <si>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</si>
  <si>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</si>
  <si>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</si>
  <si>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</si>
  <si>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</si>
  <si>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</si>
  <si>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</si>
  <si>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</si>
  <si>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</si>
  <si>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</si>
  <si>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</si>
  <si>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</si>
  <si>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</si>
  <si>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</si>
  <si>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</si>
  <si>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</si>
  <si>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</si>
  <si>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</si>
  <si>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</si>
  <si>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</si>
  <si>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</si>
  <si>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</si>
  <si>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</si>
  <si>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</si>
  <si>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</si>
  <si>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</si>
  <si>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</si>
  <si>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</si>
  <si>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</si>
  <si>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</si>
  <si>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</si>
  <si>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</si>
  <si>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</si>
  <si>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</si>
  <si>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</si>
  <si>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</si>
  <si>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</si>
  <si>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</si>
  <si>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</si>
  <si>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</si>
  <si>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</si>
  <si>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</si>
  <si>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</si>
  <si>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</si>
  <si>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</si>
  <si>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</si>
  <si>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</si>
  <si>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</si>
  <si>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</si>
  <si>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</si>
  <si>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</si>
  <si>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</si>
  <si>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</si>
  <si>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</si>
  <si>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</si>
  <si>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</si>
  <si>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</si>
  <si>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</si>
  <si>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</si>
  <si>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</si>
  <si>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</si>
  <si>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</si>
  <si>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</si>
  <si>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</si>
  <si>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</si>
  <si>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</si>
  <si>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</si>
  <si>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</si>
  <si>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</si>
  <si>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</si>
  <si>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</si>
  <si>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</si>
  <si>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</si>
  <si>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</si>
  <si>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</si>
  <si>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</si>
  <si>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</si>
  <si>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</si>
  <si>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</si>
  <si>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</si>
  <si>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</si>
  <si>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</si>
  <si>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</si>
  <si>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</si>
  <si>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</si>
  <si>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</si>
  <si>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</si>
  <si>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</si>
  <si>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</si>
  <si>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</si>
  <si>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</si>
  <si>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</si>
  <si>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</si>
  <si>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</si>
  <si>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</si>
  <si>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</si>
  <si>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</si>
  <si>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</si>
  <si>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</si>
  <si>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</si>
  <si>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</si>
  <si>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</si>
  <si>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</si>
  <si>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</si>
  <si>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</si>
  <si>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</si>
  <si>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</si>
  <si>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</si>
  <si>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</si>
  <si>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</si>
  <si>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</si>
  <si>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</si>
  <si>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</si>
  <si>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</si>
  <si>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</si>
  <si>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</si>
  <si>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</si>
  <si>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</si>
  <si>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</si>
  <si>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</si>
  <si>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</si>
  <si>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</si>
  <si>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</si>
  <si>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</si>
  <si>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</si>
  <si>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</si>
  <si>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</si>
  <si>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</si>
  <si>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</si>
  <si>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</si>
  <si>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</si>
  <si>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</si>
  <si>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</si>
  <si>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</si>
  <si>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</si>
  <si>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</si>
  <si>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</si>
  <si>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</si>
  <si>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</si>
  <si>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</si>
  <si>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</si>
  <si>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</si>
  <si>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</si>
  <si>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</si>
  <si>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</si>
  <si>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</si>
  <si>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</si>
  <si>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</si>
  <si>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</si>
  <si>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</si>
  <si>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</si>
  <si>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</si>
  <si>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</si>
  <si>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</si>
  <si>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</si>
  <si>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</si>
  <si>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</si>
  <si>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</si>
  <si>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</si>
  <si>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</si>
  <si>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</si>
  <si>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</si>
  <si>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</si>
  <si>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</si>
  <si>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</si>
  <si>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</si>
  <si>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</si>
  <si>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</si>
  <si>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</si>
  <si>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</si>
  <si>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</si>
  <si>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</si>
  <si>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</si>
  <si>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</si>
  <si>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</si>
  <si>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</si>
  <si>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</si>
  <si>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</si>
  <si>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</si>
  <si>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</si>
  <si>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</si>
  <si>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</si>
  <si>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</si>
  <si>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</si>
  <si>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</si>
  <si>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</si>
  <si>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</si>
  <si>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</si>
  <si>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</si>
  <si>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</si>
  <si>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</si>
  <si>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</si>
  <si>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</si>
  <si>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</si>
  <si>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</si>
  <si>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</si>
  <si>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</si>
  <si>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</si>
  <si>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</si>
  <si>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</si>
  <si>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</si>
  <si>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</si>
  <si>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</si>
  <si>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</si>
  <si>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</si>
  <si>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</si>
  <si>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</si>
  <si>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</si>
  <si>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</si>
  <si>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</si>
  <si>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</si>
  <si>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</si>
  <si>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</si>
  <si>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</si>
  <si>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</si>
  <si>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</si>
  <si>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</si>
  <si>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</si>
  <si>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</si>
  <si>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</si>
  <si>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</si>
  <si>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</si>
  <si>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</si>
  <si>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</si>
  <si>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</si>
  <si>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</si>
  <si>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</si>
  <si>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</si>
  <si>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</si>
  <si>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</si>
  <si>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</si>
  <si>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</si>
  <si>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</si>
  <si>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</si>
  <si>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</si>
  <si>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</si>
  <si>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</si>
  <si>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</si>
  <si>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</si>
  <si>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</si>
  <si>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</si>
  <si>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</si>
  <si>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</si>
  <si>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</si>
  <si>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</si>
  <si>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</si>
  <si>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</si>
  <si>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</si>
  <si>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</si>
  <si>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</si>
  <si>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</si>
  <si>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</si>
  <si>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</si>
  <si>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</si>
  <si>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</si>
  <si>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</si>
  <si>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</si>
  <si>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</si>
  <si>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</si>
  <si>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</si>
  <si>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</si>
  <si>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</si>
  <si>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</si>
  <si>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</si>
  <si>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</si>
  <si>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</si>
  <si>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</si>
  <si>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</si>
  <si>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</si>
  <si>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</si>
  <si>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</si>
  <si>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</si>
  <si>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</si>
  <si>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</si>
  <si>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</si>
  <si>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</si>
  <si>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</si>
  <si>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</si>
  <si>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</si>
  <si>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</si>
  <si>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</si>
  <si>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</si>
  <si>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</si>
  <si>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</si>
  <si>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</si>
  <si>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</si>
  <si>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</si>
  <si>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</si>
  <si>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</si>
  <si>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</si>
  <si>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</si>
  <si>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</si>
  <si>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</si>
  <si>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</si>
  <si>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</si>
  <si>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</si>
  <si>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</si>
  <si>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</si>
  <si>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</si>
  <si>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</si>
  <si>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</si>
  <si>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</si>
  <si>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</si>
  <si>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</si>
  <si>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</si>
  <si>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</si>
  <si>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</si>
  <si>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</si>
  <si>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</si>
  <si>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</si>
  <si>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</si>
  <si>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</si>
  <si>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</si>
  <si>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</si>
  <si>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</si>
  <si>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</si>
  <si>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</si>
  <si>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</si>
  <si>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</si>
  <si>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</si>
  <si>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</si>
  <si>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</si>
  <si>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</si>
  <si>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</si>
  <si>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</si>
  <si>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</si>
  <si>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</si>
  <si>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</si>
  <si>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</si>
  <si>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</si>
  <si>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</si>
  <si>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</si>
  <si>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</si>
  <si>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</si>
  <si>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</si>
  <si>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</si>
  <si>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</si>
  <si>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</si>
  <si>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</si>
  <si>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</si>
  <si>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</si>
  <si>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</si>
  <si>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</si>
  <si>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</si>
  <si>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</si>
  <si>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</si>
  <si>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</si>
  <si>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</si>
  <si>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</si>
  <si>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</si>
  <si>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</si>
  <si>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</si>
  <si>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</si>
  <si>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</si>
  <si>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</si>
  <si>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</si>
  <si>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</si>
  <si>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</si>
  <si>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</si>
  <si>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</si>
  <si>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</si>
  <si>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</si>
  <si>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</si>
  <si>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</si>
  <si>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</si>
  <si>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</si>
  <si>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</si>
  <si>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</si>
  <si>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</si>
  <si>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</si>
  <si>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</si>
  <si>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</si>
  <si>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</si>
  <si>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</si>
  <si>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</si>
  <si>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</si>
  <si>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</si>
  <si>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</si>
  <si>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</si>
  <si>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</si>
  <si>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</si>
  <si>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</si>
  <si>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</si>
  <si>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</si>
  <si>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</si>
  <si>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</si>
  <si>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</si>
  <si>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</si>
  <si>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</si>
  <si>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</si>
  <si>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</si>
  <si>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</si>
  <si>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</si>
  <si>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</si>
  <si>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</si>
  <si>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</si>
  <si>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</si>
  <si>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</si>
  <si>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</si>
  <si>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</si>
  <si>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</si>
  <si>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</si>
  <si>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</si>
  <si>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</si>
  <si>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</si>
  <si>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</si>
  <si>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</si>
  <si>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</si>
  <si>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</si>
  <si>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</si>
  <si>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</si>
  <si>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</si>
  <si>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</si>
  <si>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</si>
  <si>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</si>
  <si>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</si>
  <si>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</si>
  <si>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</si>
  <si>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</si>
  <si>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</si>
  <si>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</si>
  <si>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</si>
  <si>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</si>
  <si>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</si>
  <si>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</si>
  <si>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</si>
  <si>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</si>
  <si>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</si>
  <si>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</si>
  <si>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</si>
  <si>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</si>
  <si>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</si>
  <si>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</si>
  <si>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</si>
  <si>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</si>
  <si>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</si>
  <si>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</si>
  <si>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</si>
  <si>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</si>
  <si>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</si>
  <si>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</si>
  <si>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</si>
  <si>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</si>
  <si>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</si>
  <si>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</si>
  <si>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</si>
  <si>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</si>
  <si>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</si>
  <si>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</si>
  <si>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</si>
  <si>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</si>
  <si>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</si>
  <si>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</si>
  <si>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</si>
  <si>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</si>
  <si>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</si>
  <si>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</si>
  <si>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</si>
  <si>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</si>
  <si>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</si>
  <si>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</si>
  <si>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</si>
  <si>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</si>
  <si>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</si>
  <si>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</si>
  <si>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</si>
  <si>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</si>
  <si>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</si>
  <si>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</si>
  <si>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</si>
  <si>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</si>
  <si>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</si>
  <si>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</si>
  <si>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</si>
  <si>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</si>
  <si>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</si>
  <si>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</si>
  <si>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</si>
  <si>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</si>
  <si>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</si>
  <si>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</si>
  <si>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</si>
  <si>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</si>
  <si>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</si>
  <si>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</si>
  <si>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</si>
  <si>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</si>
  <si>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</si>
  <si>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</si>
  <si>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</si>
  <si>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</si>
  <si>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</si>
  <si>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</si>
  <si>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</si>
  <si>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</si>
  <si>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</si>
  <si>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</si>
  <si>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</si>
  <si>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</si>
  <si>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</si>
  <si>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</si>
  <si>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</si>
  <si>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</si>
  <si>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</si>
  <si>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</si>
  <si>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</si>
  <si>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</si>
  <si>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</si>
  <si>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</si>
  <si>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</si>
  <si>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</si>
  <si>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</si>
  <si>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</si>
  <si>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</si>
  <si>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</si>
  <si>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</si>
  <si>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</si>
  <si>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</si>
  <si>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</si>
  <si>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</si>
  <si>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</si>
  <si>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</si>
  <si>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</si>
  <si>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</si>
  <si>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</si>
  <si>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</si>
  <si>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</si>
  <si>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</si>
  <si>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</si>
  <si>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</si>
  <si>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</si>
  <si>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</si>
  <si>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</si>
  <si>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</si>
  <si>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</si>
  <si>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</si>
  <si>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</si>
  <si>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</si>
  <si>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</si>
  <si>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</si>
  <si>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</si>
  <si>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</si>
  <si>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</si>
  <si>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</si>
  <si>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</si>
  <si>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</si>
  <si>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</si>
  <si>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</si>
  <si>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</si>
  <si>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</si>
  <si>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</si>
  <si>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</si>
  <si>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</si>
  <si>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</si>
  <si>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</si>
  <si>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</si>
  <si>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</si>
  <si>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</si>
  <si>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</si>
  <si>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</si>
  <si>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</si>
  <si>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</si>
  <si>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</si>
  <si>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</si>
  <si>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</si>
  <si>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</si>
  <si>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</si>
  <si>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</si>
  <si>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</si>
  <si>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</si>
  <si>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</si>
  <si>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</si>
  <si>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</si>
  <si>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</si>
  <si>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</si>
  <si>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</si>
  <si>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</si>
  <si>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</si>
  <si>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</si>
  <si>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</si>
  <si>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</si>
  <si>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</si>
  <si>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</si>
  <si>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</si>
  <si>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</si>
  <si>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</si>
  <si>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</si>
  <si>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</si>
  <si>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</si>
  <si>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</si>
  <si>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</si>
  <si>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</si>
  <si>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</si>
  <si>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</si>
  <si>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</si>
  <si>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</si>
  <si>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</si>
  <si>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</si>
  <si>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</si>
  <si>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</si>
  <si>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</si>
  <si>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</si>
  <si>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</si>
  <si>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</si>
  <si>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</si>
  <si>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</si>
  <si>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</si>
  <si>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</si>
  <si>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</si>
  <si>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</si>
  <si>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</si>
  <si>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</si>
  <si>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</si>
  <si>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</si>
  <si>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</si>
  <si>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</si>
  <si>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</si>
  <si>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</si>
  <si>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</si>
  <si>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</si>
  <si>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</si>
  <si>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</si>
  <si>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</si>
  <si>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</si>
  <si>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</si>
  <si>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</si>
  <si>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</si>
  <si>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</si>
  <si>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</si>
  <si>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</si>
  <si>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</si>
  <si>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</si>
  <si>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</si>
  <si>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</si>
  <si>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</si>
  <si>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</si>
  <si>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</si>
  <si>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</si>
  <si>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</si>
  <si>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</si>
  <si>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</si>
  <si>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</si>
  <si>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</si>
  <si>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</si>
  <si>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</si>
  <si>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</si>
  <si>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</si>
  <si>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</si>
  <si>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</si>
  <si>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</si>
  <si>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</si>
  <si>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</si>
  <si>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</si>
  <si>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</si>
  <si>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</si>
  <si>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</si>
  <si>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</si>
  <si>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</si>
  <si>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</si>
  <si>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</si>
  <si>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</si>
  <si>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</si>
  <si>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</si>
  <si>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</si>
  <si>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</si>
  <si>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</si>
  <si>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</si>
  <si>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</si>
  <si>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</si>
  <si>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</si>
  <si>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</si>
  <si>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</si>
  <si>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</si>
  <si>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</si>
  <si>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</si>
  <si>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</si>
  <si>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</si>
  <si>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</si>
  <si>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</si>
  <si>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</si>
  <si>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</si>
  <si>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</si>
  <si>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</si>
  <si>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</si>
  <si>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</si>
  <si>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</si>
  <si>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</si>
  <si>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</si>
  <si>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</si>
  <si>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</si>
  <si>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</si>
  <si>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</si>
  <si>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</si>
  <si>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</si>
  <si>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</si>
  <si>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</si>
  <si>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</si>
  <si>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</si>
  <si>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</si>
  <si>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</si>
  <si>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</si>
  <si>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</si>
  <si>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</si>
  <si>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</si>
  <si>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</si>
  <si>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</si>
  <si>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</si>
  <si>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</si>
  <si>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</si>
  <si>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</si>
  <si>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</si>
  <si>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</si>
  <si>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</si>
  <si>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</si>
  <si>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</si>
  <si>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</si>
  <si>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</si>
  <si>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</si>
  <si>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</si>
  <si>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</si>
  <si>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</si>
  <si>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</si>
  <si>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</si>
  <si>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</si>
  <si>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</si>
  <si>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</si>
  <si>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</si>
  <si>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</si>
  <si>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</si>
  <si>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</si>
  <si>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</si>
  <si>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</si>
  <si>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</si>
  <si>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</si>
  <si>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</si>
  <si>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</si>
  <si>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</si>
  <si>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</si>
  <si>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</si>
  <si>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</si>
  <si>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</si>
  <si>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</si>
  <si>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</si>
  <si>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</si>
  <si>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</si>
  <si>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</si>
  <si>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</si>
  <si>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</si>
  <si>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</si>
  <si>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</si>
  <si>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</si>
  <si>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</si>
  <si>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</si>
  <si>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</si>
  <si>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</si>
  <si>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</si>
  <si>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</si>
  <si>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</si>
  <si>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</si>
  <si>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</si>
  <si>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</si>
  <si>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</si>
  <si>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</si>
  <si>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</si>
  <si>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</si>
  <si>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</si>
  <si>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</si>
  <si>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</si>
  <si>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</si>
  <si>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</si>
  <si>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</si>
  <si>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</si>
  <si>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</si>
  <si>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</si>
  <si>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</si>
  <si>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</si>
  <si>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</si>
  <si>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</si>
  <si>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</si>
  <si>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</si>
  <si>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</si>
  <si>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</si>
  <si>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</si>
  <si>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</si>
  <si>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</si>
  <si>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</si>
  <si>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</si>
  <si>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</si>
  <si>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</si>
  <si>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</si>
  <si>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</si>
  <si>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</si>
  <si>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</si>
  <si>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</si>
  <si>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</si>
  <si>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</si>
  <si>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</si>
  <si>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</si>
  <si>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</si>
  <si>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</si>
  <si>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</si>
  <si>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</si>
  <si>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</si>
  <si>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</si>
  <si>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</si>
  <si>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</si>
  <si>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</si>
  <si>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</si>
  <si>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</si>
  <si>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</si>
  <si>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</si>
  <si>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</si>
  <si>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</si>
  <si>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</si>
  <si>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</si>
  <si>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</si>
  <si>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</si>
  <si>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</si>
  <si>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</si>
  <si>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</si>
  <si>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</si>
  <si>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</si>
  <si>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</si>
  <si>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</si>
  <si>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</si>
  <si>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</si>
  <si>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</si>
  <si>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</si>
  <si>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</si>
  <si>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</si>
  <si>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</si>
  <si>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</si>
  <si>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</si>
  <si>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</si>
  <si>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</si>
  <si>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</si>
  <si>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</si>
  <si>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</si>
  <si>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</si>
  <si>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</si>
  <si>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</si>
  <si>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</si>
  <si>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</si>
  <si>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</si>
  <si>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</si>
  <si>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</si>
  <si>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</si>
  <si>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</si>
  <si>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</si>
  <si>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</si>
  <si>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</si>
  <si>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</si>
  <si>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</si>
  <si>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</si>
  <si>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</si>
  <si>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</si>
  <si>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</si>
  <si>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</si>
  <si>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</si>
  <si>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</si>
  <si>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</si>
  <si>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</si>
  <si>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</si>
  <si>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</si>
  <si>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</si>
  <si>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</si>
  <si>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</si>
  <si>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</si>
  <si>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</si>
  <si>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</si>
  <si>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</si>
  <si>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</si>
  <si>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</si>
  <si>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</si>
  <si>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</si>
  <si>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</si>
  <si>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</si>
  <si>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</si>
  <si>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</si>
  <si>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</si>
  <si>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</si>
  <si>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</si>
  <si>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</si>
  <si>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</si>
  <si>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</si>
  <si>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</si>
  <si>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</si>
  <si>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</si>
  <si>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</si>
  <si>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</si>
  <si>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</si>
  <si>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</si>
  <si>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</si>
  <si>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</si>
  <si>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</si>
  <si>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</si>
  <si>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</si>
  <si>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</si>
  <si>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</si>
  <si>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</si>
  <si>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</si>
  <si>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</si>
  <si>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</si>
  <si>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</si>
  <si>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</si>
  <si>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</si>
  <si>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</si>
  <si>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</si>
  <si>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</si>
  <si>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</si>
  <si>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</si>
  <si>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</si>
  <si>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</si>
  <si>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</si>
  <si>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</si>
  <si>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</si>
  <si>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</si>
  <si>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</si>
  <si>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</si>
  <si>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</si>
  <si>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</si>
  <si>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</si>
  <si>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</si>
  <si>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</si>
  <si>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</si>
  <si>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</si>
  <si>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</si>
  <si>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</si>
  <si>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</si>
  <si>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</si>
  <si>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</si>
  <si>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</si>
  <si>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</si>
  <si>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</si>
  <si>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</si>
  <si>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</si>
  <si>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</si>
  <si>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</si>
  <si>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</si>
  <si>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</si>
  <si>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</si>
  <si>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</si>
  <si>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</si>
  <si>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</si>
  <si>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</si>
  <si>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</si>
  <si>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</si>
  <si>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</si>
  <si>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</si>
  <si>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</si>
  <si>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</si>
  <si>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</si>
  <si>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</si>
  <si>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</si>
  <si>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</si>
  <si>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</si>
  <si>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</si>
  <si>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</si>
  <si>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</si>
  <si>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</si>
  <si>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</si>
  <si>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</si>
  <si>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</si>
  <si>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</si>
  <si>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</si>
  <si>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</si>
  <si>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</si>
  <si>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</si>
  <si>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</si>
  <si>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</si>
  <si>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</si>
  <si>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</si>
  <si>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</si>
  <si>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</si>
  <si>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</si>
  <si>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</si>
  <si>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</si>
  <si>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</si>
  <si>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</si>
  <si>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</si>
  <si>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</si>
  <si>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</si>
  <si>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</si>
  <si>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</si>
  <si>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</si>
  <si>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</si>
  <si>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</si>
  <si>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</si>
  <si>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</si>
  <si>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</si>
  <si>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</si>
  <si>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</si>
  <si>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</si>
  <si>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</si>
  <si>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</si>
  <si>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</si>
  <si>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</si>
  <si>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</si>
  <si>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</si>
  <si>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</si>
  <si>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</si>
  <si>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</si>
  <si>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</si>
  <si>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</si>
  <si>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</si>
  <si>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</si>
  <si>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</si>
  <si>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</si>
  <si>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</si>
  <si>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</si>
  <si>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</si>
  <si>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</si>
  <si>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</si>
  <si>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</si>
  <si>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</si>
  <si>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</si>
  <si>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</si>
  <si>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</si>
  <si>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</si>
  <si>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</si>
  <si>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</si>
  <si>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</si>
  <si>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</si>
  <si>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</si>
  <si>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</si>
  <si>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</si>
  <si>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</si>
  <si>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</si>
  <si>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</si>
  <si>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</si>
  <si>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</si>
  <si>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</si>
  <si>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</si>
  <si>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</si>
  <si>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</si>
  <si>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</si>
  <si>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</si>
  <si>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</si>
  <si>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</si>
  <si>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</si>
  <si>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</si>
  <si>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</si>
  <si>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</si>
  <si>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</si>
  <si>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</si>
  <si>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</si>
  <si>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</si>
  <si>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</si>
  <si>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</si>
  <si>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</si>
  <si>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</si>
  <si>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</si>
  <si>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</si>
  <si>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</si>
  <si>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</si>
  <si>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</si>
  <si>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</si>
  <si>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</si>
  <si>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</si>
  <si>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</si>
  <si>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</si>
  <si>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</si>
  <si>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</si>
  <si>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</si>
  <si>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</si>
  <si>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</si>
  <si>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</si>
  <si>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</si>
  <si>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</si>
  <si>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</si>
  <si>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</si>
  <si>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</si>
  <si>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</si>
  <si>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</si>
  <si>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</si>
  <si>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</si>
  <si>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</si>
  <si>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</si>
  <si>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</si>
  <si>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</si>
  <si>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</si>
  <si>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</si>
  <si>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</si>
  <si>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</si>
  <si>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</si>
  <si>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</si>
  <si>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</si>
  <si>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</si>
  <si>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</si>
  <si>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</si>
  <si>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</si>
  <si>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</si>
  <si>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</si>
  <si>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</si>
  <si>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</si>
  <si>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</si>
  <si>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</si>
  <si>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</si>
  <si>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</si>
  <si>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</si>
  <si>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</si>
  <si>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</si>
  <si>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</si>
  <si>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</si>
  <si>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</si>
  <si>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</si>
  <si>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</si>
  <si>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</si>
  <si>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</si>
  <si>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</si>
  <si>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</si>
  <si>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</si>
  <si>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</si>
  <si>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</si>
  <si>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</si>
  <si>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</si>
  <si>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</si>
  <si>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</si>
  <si>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</si>
  <si>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</si>
  <si>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</si>
  <si>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</si>
  <si>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</si>
  <si>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</si>
  <si>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</si>
  <si>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</si>
  <si>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</si>
  <si>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</si>
  <si>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</si>
  <si>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</si>
  <si>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</si>
  <si>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</si>
  <si>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</si>
  <si>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</si>
  <si>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</si>
  <si>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</si>
  <si>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</si>
  <si>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</si>
  <si>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</si>
  <si>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</si>
  <si>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</si>
  <si>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</si>
  <si>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</si>
  <si>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</si>
  <si>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</si>
  <si>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</si>
  <si>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</si>
  <si>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</si>
  <si>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</si>
  <si>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</si>
  <si>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</si>
  <si>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</si>
  <si>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</si>
  <si>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</si>
  <si>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</si>
  <si>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</si>
  <si>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</si>
  <si>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</si>
  <si>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</si>
  <si>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</si>
  <si>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</si>
  <si>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</si>
  <si>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</si>
  <si>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</si>
  <si>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</si>
  <si>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</si>
  <si>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</si>
  <si>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</si>
  <si>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</si>
  <si>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</si>
  <si>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</si>
  <si>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</si>
  <si>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</si>
  <si>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</si>
  <si>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</si>
  <si>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</si>
  <si>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</si>
  <si>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</si>
  <si>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</si>
  <si>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</si>
  <si>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</si>
  <si>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</si>
  <si>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</si>
  <si>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</si>
  <si>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</si>
  <si>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</si>
  <si>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</si>
  <si>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</si>
  <si>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</si>
  <si>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</si>
  <si>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</si>
  <si>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</si>
  <si>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</si>
  <si>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</si>
  <si>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</si>
  <si>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</si>
  <si>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</si>
  <si>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</si>
  <si>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</si>
  <si>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</si>
  <si>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</si>
  <si>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</si>
  <si>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</si>
  <si>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</si>
  <si>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</si>
  <si>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</si>
  <si>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</si>
  <si>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</si>
  <si>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</si>
  <si>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</si>
  <si>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</si>
  <si>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</si>
  <si>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</si>
  <si>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</si>
  <si>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</si>
  <si>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</si>
  <si>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</si>
  <si>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</si>
  <si>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</si>
  <si>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</si>
  <si>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</si>
  <si>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</si>
  <si>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</si>
  <si>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</si>
  <si>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</si>
  <si>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</si>
  <si>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</si>
  <si>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</si>
  <si>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</si>
  <si>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</si>
  <si>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</si>
  <si>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</si>
  <si>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</si>
  <si>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</si>
  <si>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</si>
  <si>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</si>
  <si>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</si>
  <si>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</si>
  <si>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</si>
  <si>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</si>
  <si>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</si>
  <si>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</si>
  <si>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</si>
  <si>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</si>
  <si>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</si>
  <si>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</si>
  <si>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</si>
  <si>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</si>
  <si>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</si>
  <si>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</si>
  <si>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</si>
  <si>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</si>
  <si>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</si>
  <si>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</si>
  <si>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</si>
  <si>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</si>
  <si>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</si>
  <si>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</si>
  <si>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</si>
  <si>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</si>
  <si>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</si>
  <si>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</si>
  <si>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</si>
  <si>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</si>
  <si>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</si>
  <si>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</si>
  <si>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</si>
  <si>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</si>
  <si>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</si>
  <si>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</si>
  <si>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</si>
  <si>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</si>
  <si>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</si>
  <si>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</si>
  <si>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</si>
  <si>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</si>
  <si>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</si>
  <si>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</si>
  <si>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</si>
  <si>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</si>
  <si>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</si>
  <si>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</si>
  <si>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</si>
  <si>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</si>
  <si>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</si>
  <si>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</si>
  <si>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</si>
  <si>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</si>
  <si>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</si>
  <si>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</si>
  <si>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</si>
  <si>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</si>
  <si>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</si>
  <si>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</si>
  <si>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</si>
  <si>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</si>
  <si>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</si>
  <si>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</si>
  <si>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</si>
  <si>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</si>
  <si>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</si>
  <si>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</si>
  <si>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</si>
  <si>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</si>
  <si>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</si>
  <si>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</si>
  <si>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</si>
  <si>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</si>
  <si>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</si>
  <si>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</si>
  <si>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</si>
  <si>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</si>
  <si>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</si>
  <si>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</si>
  <si>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</si>
  <si>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</si>
  <si>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</si>
  <si>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</si>
  <si>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</si>
  <si>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</si>
  <si>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</si>
  <si>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</si>
  <si>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</si>
  <si>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</si>
  <si>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</si>
  <si>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</si>
  <si>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</si>
  <si>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</si>
  <si>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</si>
  <si>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</si>
  <si>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</si>
  <si>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</si>
  <si>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</si>
  <si>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</si>
  <si>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</si>
  <si>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</si>
  <si>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</si>
  <si>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</si>
  <si>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</si>
  <si>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</si>
  <si>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</si>
  <si>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</si>
  <si>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</si>
  <si>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</si>
  <si>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</si>
  <si>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</si>
  <si>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</si>
  <si>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</si>
  <si>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</si>
  <si>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</si>
  <si>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</si>
  <si>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</si>
  <si>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</si>
  <si>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</si>
  <si>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</si>
  <si>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</si>
  <si>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</si>
  <si>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</si>
  <si>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</si>
  <si>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</si>
  <si>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</si>
  <si>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</si>
  <si>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</si>
  <si>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</si>
  <si>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</si>
  <si>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</si>
  <si>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</si>
  <si>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</si>
  <si>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</si>
  <si>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</si>
  <si>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</si>
  <si>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</si>
  <si>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</si>
  <si>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</si>
  <si>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</si>
  <si>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</si>
  <si>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</si>
  <si>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</si>
  <si>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</si>
  <si>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</si>
  <si>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</si>
  <si>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</si>
  <si>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</si>
  <si>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</si>
  <si>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</si>
  <si>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</si>
  <si>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</si>
  <si>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</si>
  <si>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</si>
  <si>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</si>
  <si>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</si>
  <si>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</si>
  <si>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</si>
  <si>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</si>
  <si>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</si>
  <si>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</si>
  <si>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</si>
  <si>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</si>
  <si>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</si>
  <si>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</si>
  <si>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</si>
  <si>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</si>
  <si>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</si>
  <si>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</si>
  <si>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</si>
  <si>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</si>
  <si>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</si>
  <si>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</si>
  <si>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</si>
  <si>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</si>
  <si>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</si>
  <si>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</si>
  <si>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</si>
  <si>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</si>
  <si>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</si>
  <si>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</si>
  <si>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</si>
  <si>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</si>
  <si>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</si>
  <si>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</si>
  <si>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</si>
  <si>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</si>
  <si>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</si>
  <si>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</si>
  <si>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</si>
  <si>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</si>
  <si>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</si>
  <si>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</si>
  <si>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</si>
  <si>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</si>
  <si>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</si>
  <si>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</si>
  <si>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</si>
  <si>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</si>
  <si>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</si>
  <si>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</si>
  <si>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</si>
  <si>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</si>
  <si>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</si>
  <si>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</si>
  <si>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</si>
  <si>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</si>
  <si>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</si>
  <si>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</si>
  <si>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</si>
  <si>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</si>
  <si>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</si>
  <si>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</si>
  <si>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</si>
  <si>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</si>
  <si>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</si>
  <si>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</si>
  <si>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</si>
  <si>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</si>
  <si>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</si>
  <si>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</si>
  <si>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</si>
  <si>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</si>
  <si>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</si>
  <si>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</si>
  <si>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</si>
  <si>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</si>
  <si>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</si>
  <si>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</si>
  <si>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</si>
  <si>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</si>
  <si>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</si>
  <si>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</si>
  <si>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</si>
  <si>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</si>
  <si>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</si>
  <si>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</si>
  <si>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</si>
  <si>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</si>
  <si>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</si>
  <si>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</si>
  <si>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</si>
  <si>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</si>
  <si>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</si>
  <si>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</si>
  <si>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</si>
  <si>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</si>
  <si>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</si>
  <si>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</si>
  <si>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</si>
  <si>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</si>
  <si>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</si>
  <si>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</si>
  <si>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</si>
  <si>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</si>
  <si>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</si>
  <si>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</si>
  <si>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</si>
  <si>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</si>
  <si>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</si>
  <si>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</si>
  <si>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</si>
  <si>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</si>
  <si>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</si>
  <si>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</si>
  <si>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</si>
  <si>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</si>
  <si>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</si>
  <si>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</si>
  <si>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</si>
  <si>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</si>
  <si>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</si>
  <si>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</si>
  <si>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</si>
  <si>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</si>
  <si>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</si>
  <si>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</si>
  <si>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</si>
  <si>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</si>
  <si>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</si>
  <si>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</si>
  <si>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</si>
  <si>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</si>
  <si>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</si>
  <si>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</si>
  <si>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</si>
  <si>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</si>
  <si>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</si>
  <si>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</si>
  <si>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</si>
  <si>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</si>
  <si>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</si>
  <si>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</si>
  <si>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</si>
  <si>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</si>
  <si>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</si>
  <si>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</si>
  <si>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</si>
  <si>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</si>
  <si>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</si>
  <si>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</si>
  <si>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</si>
  <si>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</si>
  <si>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</si>
  <si>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</si>
  <si>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</si>
  <si>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</si>
  <si>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</si>
  <si>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</si>
  <si>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</si>
  <si>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</si>
  <si>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</si>
  <si>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</si>
  <si>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</si>
  <si>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</si>
  <si>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</si>
  <si>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</si>
  <si>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</si>
  <si>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</si>
  <si>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</si>
  <si>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</si>
  <si>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</si>
  <si>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</si>
  <si>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</si>
  <si>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</si>
  <si>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</si>
  <si>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</si>
  <si>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</si>
  <si>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</si>
  <si>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</si>
  <si>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</si>
  <si>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</si>
  <si>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</si>
  <si>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</si>
  <si>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</si>
  <si>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</si>
  <si>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</si>
  <si>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</si>
  <si>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</si>
  <si>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</si>
  <si>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</si>
  <si>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</si>
  <si>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</si>
  <si>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</si>
  <si>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</si>
  <si>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</si>
  <si>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</si>
  <si>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</si>
  <si>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</si>
  <si>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</si>
  <si>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</si>
  <si>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</si>
  <si>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</si>
  <si>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</si>
  <si>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</si>
  <si>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</si>
  <si>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</si>
  <si>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</si>
  <si>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</si>
  <si>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</si>
  <si>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</si>
  <si>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</si>
  <si>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</si>
  <si>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</si>
  <si>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</si>
  <si>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</si>
  <si>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</si>
  <si>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</si>
  <si>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</si>
  <si>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</si>
  <si>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</si>
  <si>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</si>
  <si>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</si>
  <si>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</si>
  <si>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</si>
  <si>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</si>
  <si>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</si>
  <si>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</si>
  <si>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</si>
  <si>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</si>
  <si>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</si>
  <si>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</si>
  <si>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</si>
  <si>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</si>
  <si>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</si>
  <si>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</si>
  <si>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</si>
  <si>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</si>
  <si>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</si>
  <si>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</si>
  <si>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</si>
  <si>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Mar</t>
  </si>
  <si>
    <t>Apr</t>
  </si>
  <si>
    <t>Jun</t>
  </si>
  <si>
    <t>Jul</t>
  </si>
  <si>
    <t>Oct</t>
  </si>
  <si>
    <t>Nov</t>
  </si>
  <si>
    <t>Dec</t>
  </si>
  <si>
    <t>Years (Order Date)</t>
  </si>
  <si>
    <t>Months (Order Date)</t>
  </si>
  <si>
    <t>2019 Total</t>
  </si>
  <si>
    <t>2020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</si>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</sst>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quot;kg&quot;"/>
    <numFmt numFmtId="167" formatCode="[$CAD]\ #,##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cellXfs>
  <cellStyles count="1">
    <cellStyle name="Normal" xfId="0" builtinId="0"/>
  </cellStyles>
  <dxfs count="19">
    <dxf>
      <font>
        <b/>
        <i val="0"/>
        <sz val="16"/>
        <color rgb="FF6A4C42"/>
        <name val="Calibri"/>
        <family val="2"/>
        <scheme val="minor"/>
      </font>
      <fill>
        <patternFill patternType="none">
          <bgColor auto="1"/>
        </patternFill>
      </fill>
      <border>
        <bottom style="thin">
          <color rgb="FF6A4C42"/>
        </bottom>
        <vertical/>
        <horizontal/>
      </border>
    </dxf>
    <dxf>
      <font>
        <b/>
        <i val="0"/>
        <color rgb="FFA06D64"/>
        <name val="Calibri"/>
        <family val="2"/>
        <scheme val="minor"/>
      </font>
      <fill>
        <gradientFill degree="90">
          <stop position="0">
            <color theme="0"/>
          </stop>
          <stop position="1">
            <color rgb="FFA06D64"/>
          </stop>
        </gradientFill>
      </fill>
      <border>
        <left style="thin">
          <color rgb="FF663300"/>
        </left>
        <right style="thin">
          <color rgb="FF663300"/>
        </right>
        <top style="thin">
          <color rgb="FF663300"/>
        </top>
        <bottom style="thin">
          <color rgb="FF663300"/>
        </bottom>
        <vertical/>
        <horizontal/>
      </border>
    </dxf>
    <dxf>
      <font>
        <b/>
        <i val="0"/>
        <sz val="16"/>
        <color rgb="FF6A4C42"/>
        <name val="Calibri"/>
        <family val="2"/>
        <scheme val="minor"/>
      </font>
    </dxf>
    <dxf>
      <font>
        <b val="0"/>
        <i val="0"/>
        <sz val="12"/>
        <name val="Calibri"/>
        <family val="2"/>
        <scheme val="minor"/>
      </font>
      <fill>
        <patternFill patternType="solid">
          <fgColor auto="1"/>
          <bgColor theme="0"/>
        </patternFill>
      </fill>
      <border diagonalUp="0" diagonalDown="0">
        <left style="thin">
          <color rgb="FF663300"/>
        </left>
        <right style="thin">
          <color rgb="FF663300"/>
        </right>
        <top style="thin">
          <color rgb="FF663300"/>
        </top>
        <bottom style="thin">
          <color rgb="FF663300"/>
        </bottom>
        <vertical/>
        <horizontal/>
      </border>
    </dxf>
    <dxf>
      <font>
        <b/>
        <i val="0"/>
        <u val="none"/>
        <color rgb="FF663300"/>
        <name val="Calibri"/>
        <family val="2"/>
        <scheme val="minor"/>
      </font>
      <fill>
        <gradientFill degree="90">
          <stop position="0">
            <color theme="0"/>
          </stop>
          <stop position="1">
            <color rgb="FFA06D64"/>
          </stop>
        </gradientFill>
      </fill>
    </dxf>
    <dxf>
      <numFmt numFmtId="0" formatCode="General"/>
    </dxf>
    <dxf>
      <numFmt numFmtId="167" formatCode="[$CAD]\ #,##0.00"/>
    </dxf>
    <dxf>
      <numFmt numFmtId="167" formatCode="[$CAD]\ #,##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4" defaultTableStyle="TableStyleMedium2" defaultPivotStyle="PivotStyleMedium9">
    <tableStyle name="Coffee Slicer" pivot="0" table="0" count="9" xr9:uid="{3601E908-9FA5-424B-8F1B-CD520A945520}">
      <tableStyleElement type="wholeTable" dxfId="4"/>
    </tableStyle>
    <tableStyle name="Coffee Timeline" pivot="0" table="0" count="9" xr9:uid="{CE0805F0-8BA0-4543-8C68-A39215B084FD}">
      <tableStyleElement type="wholeTable" dxfId="3"/>
      <tableStyleElement type="headerRow" dxfId="2"/>
    </tableStyle>
    <tableStyle name="SlicerStyleLight1 2" pivot="0" table="0" count="10" xr9:uid="{8E09A875-EAD9-4927-8CDC-BB73BC3BF2A8}">
      <tableStyleElement type="wholeTable" dxfId="1"/>
      <tableStyleElement type="headerRow" dxfId="0"/>
    </tableStyle>
    <tableStyle name="Timeline Style 1" pivot="0" table="0" count="8" xr9:uid="{B8C56ACD-A804-4AA6-A846-702B9F240ACB}">
      <tableStyleElement type="wholeTable" dxfId="18"/>
      <tableStyleElement type="headerRow" dxfId="17"/>
    </tableStyle>
  </tableStyles>
  <colors>
    <mruColors>
      <color rgb="FF663300"/>
      <color rgb="FFB7D8A0"/>
      <color rgb="FF76B54B"/>
      <color rgb="FF6FAC46"/>
      <color rgb="FFCCB1AC"/>
      <color rgb="FFBF9D97"/>
      <color rgb="FFC59E97"/>
      <color rgb="FF6A4C42"/>
      <color rgb="FFA06D64"/>
      <color rgb="FFAE817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6A4C42"/>
            <name val="Calibri"/>
            <family val="2"/>
            <scheme val="minor"/>
          </font>
          <fill>
            <patternFill patternType="solid">
              <fgColor theme="4" tint="0.79995117038483843"/>
              <bgColor theme="5" tint="0.79998168889431442"/>
            </patternFill>
          </fill>
          <border>
            <left style="thin">
              <color rgb="FFCCCCCC"/>
            </left>
            <right style="thin">
              <color rgb="FFCCCCCC"/>
            </right>
            <top style="thin">
              <color rgb="FFCCCCCC"/>
            </top>
            <bottom style="thin">
              <color rgb="FFCCCCCC"/>
            </bottom>
            <vertical/>
            <horizontal/>
          </border>
        </dxf>
        <dxf>
          <font>
            <color rgb="FF6A4C42"/>
          </font>
          <fill>
            <patternFill patternType="solid">
              <fgColor theme="4" tint="0.59999389629810485"/>
              <bgColor rgb="FFC59E9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6A4C42"/>
            <name val="Calibri"/>
            <family val="2"/>
            <scheme val="minor"/>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0.14996795556505021"/>
            </patternFill>
          </fill>
        </dxf>
        <dxf>
          <fill>
            <patternFill>
              <bgColor theme="0" tint="-0.14996795556505021"/>
            </patternFill>
          </fill>
        </dxf>
        <dxf>
          <fill>
            <patternFill>
              <bgColor theme="5" tint="-0.499984740745262"/>
            </patternFill>
          </fill>
        </dxf>
        <dxf>
          <fill>
            <patternFill>
              <bgColor theme="0" tint="-0.14996795556505021"/>
            </patternFill>
          </fill>
        </dxf>
      </x14:dxfs>
    </ext>
    <ext xmlns:x14="http://schemas.microsoft.com/office/spreadsheetml/2009/9/main" uri="{EB79DEF2-80B8-43e5-95BD-54CBDDF9020C}">
      <x14:slicerStyles defaultSlicerStyle="Coffee Slicer">
        <x14:slicerStyle name="Coffee Slicer">
          <x14:slicerStyleElements>
            <x14:slicerStyleElement type="unselectedItemWithData" dxfId="15"/>
            <x14:slicerStyleElement type="unselectedItemWithNoData" dxfId="13"/>
            <x14:slicerStyleElement type="selectedItemWithData" dxfId="14"/>
            <x14:slicerStyleElement type="selectedItemWithNoData" dxfId="12"/>
            <x14:slicerStyleElement type="hoveredUnselectedItemWithData" dxfId="9"/>
            <x14:slicerStyleElement type="hoveredSelectedItemWithData" dxfId="11"/>
            <x14:slicerStyleElement type="hoveredUnselectedItemWithNoData" dxfId="8"/>
            <x14:slicerStyleElement type="hoveredSelectedItemWithNoData" dxfId="10"/>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bgColor theme="0" tint="-0.24994659260841701"/>
            </patternFill>
          </fill>
        </dxf>
        <dxf>
          <fill>
            <patternFill patternType="solid">
              <fgColor theme="0" tint="-0.14996795556505021"/>
              <bgColor theme="0" tint="-4.9989318521683403E-2"/>
            </patternFill>
          </fill>
          <border>
            <left style="thin">
              <color rgb="FFD9C7C1"/>
            </left>
            <right style="thin">
              <color rgb="FFD9C7C1"/>
            </right>
            <top style="thin">
              <color rgb="FFD9C7C1"/>
            </top>
            <bottom style="thin">
              <color rgb="FFD9C7C1"/>
            </bottom>
          </border>
        </dxf>
        <dxf>
          <fill>
            <patternFill patternType="solid">
              <fgColor theme="0"/>
              <bgColor rgb="FFBF9D97"/>
            </patternFill>
          </fill>
          <border diagonalUp="0" diagonalDown="0">
            <left style="thin">
              <color rgb="FFAA8276"/>
            </left>
            <right style="thin">
              <color rgb="FFAA8276"/>
            </right>
            <top style="thin">
              <color rgb="FFAA8276"/>
            </top>
            <bottom style="thin">
              <color rgb="FFAA8276"/>
            </bottom>
            <vertical/>
            <horizontal/>
          </border>
        </dxf>
        <dxf>
          <font>
            <b/>
            <i val="0"/>
            <sz val="9"/>
            <color rgb="FF6A4C42"/>
            <name val="Calibri"/>
            <family val="2"/>
            <scheme val="minor"/>
          </font>
        </dxf>
        <dxf>
          <font>
            <b/>
            <i val="0"/>
            <sz val="9"/>
            <color rgb="FF6A4C42"/>
            <name val="Calibri"/>
            <family val="2"/>
            <scheme val="minor"/>
          </font>
        </dxf>
        <dxf>
          <font>
            <b/>
            <i val="0"/>
            <sz val="9"/>
            <color rgb="FF6A4C42"/>
            <name val="Calibri"/>
            <family val="2"/>
            <scheme val="minor"/>
          </font>
        </dxf>
        <dxf>
          <font>
            <b/>
            <i val="0"/>
            <sz val="10"/>
            <color rgb="FF6A4C4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1">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8"/>
  </c:pivotSource>
  <c:chart>
    <c:title>
      <c:tx>
        <c:rich>
          <a:bodyPr rot="0" spcFirstLastPara="1" vertOverflow="ellipsis" vert="horz" wrap="square" anchor="ctr" anchorCtr="1"/>
          <a:lstStyle/>
          <a:p>
            <a:pPr>
              <a:defRPr sz="1600" b="1" i="0" u="none" strike="noStrike" kern="1200" spc="0" baseline="0">
                <a:solidFill>
                  <a:srgbClr val="6A4C42"/>
                </a:solidFill>
                <a:latin typeface="+mn-lt"/>
                <a:ea typeface="+mn-ea"/>
                <a:cs typeface="+mn-cs"/>
              </a:defRPr>
            </a:pPr>
            <a:r>
              <a:rPr lang="en-CA" sz="1600"/>
              <a:t>Total Sales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6A4C4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2"/>
              </a:solidFill>
              <a:round/>
            </a:ln>
            <a:effectLst/>
          </c:spPr>
          <c:marker>
            <c:symbol val="none"/>
          </c:marker>
          <c:cat>
            <c:multiLvlStrRef>
              <c:f>'Total Sales'!$A$5:$B$17</c:f>
              <c:multiLvlStrCache>
                <c:ptCount val="10"/>
                <c:lvl>
                  <c:pt idx="0">
                    <c:v>Mar</c:v>
                  </c:pt>
                  <c:pt idx="1">
                    <c:v>Apr</c:v>
                  </c:pt>
                  <c:pt idx="2">
                    <c:v>Jun</c:v>
                  </c:pt>
                  <c:pt idx="3">
                    <c:v>Jul</c:v>
                  </c:pt>
                  <c:pt idx="4">
                    <c:v>Oct</c:v>
                  </c:pt>
                  <c:pt idx="5">
                    <c:v>Nov</c:v>
                  </c:pt>
                  <c:pt idx="6">
                    <c:v>Dec</c:v>
                  </c:pt>
                  <c:pt idx="7">
                    <c:v>Mar</c:v>
                  </c:pt>
                  <c:pt idx="8">
                    <c:v>Jun</c:v>
                  </c:pt>
                  <c:pt idx="9">
                    <c:v>Jul</c:v>
                  </c:pt>
                </c:lvl>
                <c:lvl>
                  <c:pt idx="0">
                    <c:v>2019</c:v>
                  </c:pt>
                  <c:pt idx="7">
                    <c:v>2020</c:v>
                  </c:pt>
                </c:lvl>
              </c:multiLvlStrCache>
            </c:multiLvlStrRef>
          </c:cat>
          <c:val>
            <c:numRef>
              <c:f>'Total Sales'!$C$5:$C$17</c:f>
              <c:numCache>
                <c:formatCode>#,##0</c:formatCode>
                <c:ptCount val="10"/>
                <c:pt idx="5">
                  <c:v>49.75</c:v>
                </c:pt>
                <c:pt idx="9">
                  <c:v>9.9499999999999993</c:v>
                </c:pt>
              </c:numCache>
            </c:numRef>
          </c:val>
          <c:smooth val="0"/>
          <c:extLst>
            <c:ext xmlns:c16="http://schemas.microsoft.com/office/drawing/2014/chart" uri="{C3380CC4-5D6E-409C-BE32-E72D297353CC}">
              <c16:uniqueId val="{00000000-64D2-485E-8744-9819B12640AD}"/>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Sales'!$A$5:$B$17</c:f>
              <c:multiLvlStrCache>
                <c:ptCount val="10"/>
                <c:lvl>
                  <c:pt idx="0">
                    <c:v>Mar</c:v>
                  </c:pt>
                  <c:pt idx="1">
                    <c:v>Apr</c:v>
                  </c:pt>
                  <c:pt idx="2">
                    <c:v>Jun</c:v>
                  </c:pt>
                  <c:pt idx="3">
                    <c:v>Jul</c:v>
                  </c:pt>
                  <c:pt idx="4">
                    <c:v>Oct</c:v>
                  </c:pt>
                  <c:pt idx="5">
                    <c:v>Nov</c:v>
                  </c:pt>
                  <c:pt idx="6">
                    <c:v>Dec</c:v>
                  </c:pt>
                  <c:pt idx="7">
                    <c:v>Mar</c:v>
                  </c:pt>
                  <c:pt idx="8">
                    <c:v>Jun</c:v>
                  </c:pt>
                  <c:pt idx="9">
                    <c:v>Jul</c:v>
                  </c:pt>
                </c:lvl>
                <c:lvl>
                  <c:pt idx="0">
                    <c:v>2019</c:v>
                  </c:pt>
                  <c:pt idx="7">
                    <c:v>2020</c:v>
                  </c:pt>
                </c:lvl>
              </c:multiLvlStrCache>
            </c:multiLvlStrRef>
          </c:cat>
          <c:val>
            <c:numRef>
              <c:f>'Total Sales'!$D$5:$D$17</c:f>
              <c:numCache>
                <c:formatCode>#,##0</c:formatCode>
                <c:ptCount val="10"/>
                <c:pt idx="0">
                  <c:v>12.15</c:v>
                </c:pt>
                <c:pt idx="1">
                  <c:v>109.35000000000001</c:v>
                </c:pt>
                <c:pt idx="3">
                  <c:v>12.15</c:v>
                </c:pt>
                <c:pt idx="7">
                  <c:v>109.35000000000001</c:v>
                </c:pt>
              </c:numCache>
            </c:numRef>
          </c:val>
          <c:smooth val="0"/>
          <c:extLst>
            <c:ext xmlns:c16="http://schemas.microsoft.com/office/drawing/2014/chart" uri="{C3380CC4-5D6E-409C-BE32-E72D297353CC}">
              <c16:uniqueId val="{00000001-64D2-485E-8744-9819B12640AD}"/>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Sales'!$A$5:$B$17</c:f>
              <c:multiLvlStrCache>
                <c:ptCount val="10"/>
                <c:lvl>
                  <c:pt idx="0">
                    <c:v>Mar</c:v>
                  </c:pt>
                  <c:pt idx="1">
                    <c:v>Apr</c:v>
                  </c:pt>
                  <c:pt idx="2">
                    <c:v>Jun</c:v>
                  </c:pt>
                  <c:pt idx="3">
                    <c:v>Jul</c:v>
                  </c:pt>
                  <c:pt idx="4">
                    <c:v>Oct</c:v>
                  </c:pt>
                  <c:pt idx="5">
                    <c:v>Nov</c:v>
                  </c:pt>
                  <c:pt idx="6">
                    <c:v>Dec</c:v>
                  </c:pt>
                  <c:pt idx="7">
                    <c:v>Mar</c:v>
                  </c:pt>
                  <c:pt idx="8">
                    <c:v>Jun</c:v>
                  </c:pt>
                  <c:pt idx="9">
                    <c:v>Jul</c:v>
                  </c:pt>
                </c:lvl>
                <c:lvl>
                  <c:pt idx="0">
                    <c:v>2019</c:v>
                  </c:pt>
                  <c:pt idx="7">
                    <c:v>2020</c:v>
                  </c:pt>
                </c:lvl>
              </c:multiLvlStrCache>
            </c:multiLvlStrRef>
          </c:cat>
          <c:val>
            <c:numRef>
              <c:f>'Total Sales'!$E$5:$E$17</c:f>
              <c:numCache>
                <c:formatCode>#,##0</c:formatCode>
                <c:ptCount val="10"/>
                <c:pt idx="3">
                  <c:v>12.95</c:v>
                </c:pt>
                <c:pt idx="4">
                  <c:v>51.8</c:v>
                </c:pt>
                <c:pt idx="6">
                  <c:v>77.699999999999989</c:v>
                </c:pt>
                <c:pt idx="8">
                  <c:v>77.699999999999989</c:v>
                </c:pt>
              </c:numCache>
            </c:numRef>
          </c:val>
          <c:smooth val="0"/>
          <c:extLst>
            <c:ext xmlns:c16="http://schemas.microsoft.com/office/drawing/2014/chart" uri="{C3380CC4-5D6E-409C-BE32-E72D297353CC}">
              <c16:uniqueId val="{00000002-64D2-485E-8744-9819B12640AD}"/>
            </c:ext>
          </c:extLst>
        </c:ser>
        <c:ser>
          <c:idx val="3"/>
          <c:order val="3"/>
          <c:tx>
            <c:strRef>
              <c:f>'Total Sales'!$F$3:$F$4</c:f>
              <c:strCache>
                <c:ptCount val="1"/>
                <c:pt idx="0">
                  <c:v>Robusta</c:v>
                </c:pt>
              </c:strCache>
            </c:strRef>
          </c:tx>
          <c:spPr>
            <a:ln w="28575" cap="rnd">
              <a:solidFill>
                <a:schemeClr val="accent2">
                  <a:lumMod val="60000"/>
                </a:schemeClr>
              </a:solidFill>
              <a:round/>
            </a:ln>
            <a:effectLst/>
          </c:spPr>
          <c:marker>
            <c:symbol val="none"/>
          </c:marker>
          <c:cat>
            <c:multiLvlStrRef>
              <c:f>'Total Sales'!$A$5:$B$17</c:f>
              <c:multiLvlStrCache>
                <c:ptCount val="10"/>
                <c:lvl>
                  <c:pt idx="0">
                    <c:v>Mar</c:v>
                  </c:pt>
                  <c:pt idx="1">
                    <c:v>Apr</c:v>
                  </c:pt>
                  <c:pt idx="2">
                    <c:v>Jun</c:v>
                  </c:pt>
                  <c:pt idx="3">
                    <c:v>Jul</c:v>
                  </c:pt>
                  <c:pt idx="4">
                    <c:v>Oct</c:v>
                  </c:pt>
                  <c:pt idx="5">
                    <c:v>Nov</c:v>
                  </c:pt>
                  <c:pt idx="6">
                    <c:v>Dec</c:v>
                  </c:pt>
                  <c:pt idx="7">
                    <c:v>Mar</c:v>
                  </c:pt>
                  <c:pt idx="8">
                    <c:v>Jun</c:v>
                  </c:pt>
                  <c:pt idx="9">
                    <c:v>Jul</c:v>
                  </c:pt>
                </c:lvl>
                <c:lvl>
                  <c:pt idx="0">
                    <c:v>2019</c:v>
                  </c:pt>
                  <c:pt idx="7">
                    <c:v>2020</c:v>
                  </c:pt>
                </c:lvl>
              </c:multiLvlStrCache>
            </c:multiLvlStrRef>
          </c:cat>
          <c:val>
            <c:numRef>
              <c:f>'Total Sales'!$F$5:$F$17</c:f>
              <c:numCache>
                <c:formatCode>#,##0</c:formatCode>
                <c:ptCount val="10"/>
                <c:pt idx="1">
                  <c:v>44.75</c:v>
                </c:pt>
                <c:pt idx="2">
                  <c:v>53.699999999999996</c:v>
                </c:pt>
              </c:numCache>
            </c:numRef>
          </c:val>
          <c:smooth val="0"/>
          <c:extLst>
            <c:ext xmlns:c16="http://schemas.microsoft.com/office/drawing/2014/chart" uri="{C3380CC4-5D6E-409C-BE32-E72D297353CC}">
              <c16:uniqueId val="{00000005-64D2-485E-8744-9819B12640AD}"/>
            </c:ext>
          </c:extLst>
        </c:ser>
        <c:dLbls>
          <c:showLegendKey val="0"/>
          <c:showVal val="0"/>
          <c:showCatName val="0"/>
          <c:showSerName val="0"/>
          <c:showPercent val="0"/>
          <c:showBubbleSize val="0"/>
        </c:dLbls>
        <c:smooth val="0"/>
        <c:axId val="619926992"/>
        <c:axId val="619944272"/>
      </c:lineChart>
      <c:catAx>
        <c:axId val="61992699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1" i="0" u="none" strike="noStrike" kern="1200" baseline="0">
                <a:solidFill>
                  <a:srgbClr val="6A4C42"/>
                </a:solidFill>
                <a:latin typeface="+mn-lt"/>
                <a:ea typeface="+mn-ea"/>
                <a:cs typeface="+mn-cs"/>
              </a:defRPr>
            </a:pPr>
            <a:endParaRPr lang="en-US"/>
          </a:p>
        </c:txPr>
        <c:crossAx val="619944272"/>
        <c:crosses val="autoZero"/>
        <c:auto val="1"/>
        <c:lblAlgn val="ctr"/>
        <c:lblOffset val="100"/>
        <c:noMultiLvlLbl val="0"/>
      </c:catAx>
      <c:valAx>
        <c:axId val="619944272"/>
        <c:scaling>
          <c:orientation val="minMax"/>
        </c:scaling>
        <c:delete val="0"/>
        <c:axPos val="l"/>
        <c:majorGridlines>
          <c:spPr>
            <a:ln w="12700" cap="flat" cmpd="sng" algn="ctr">
              <a:solidFill>
                <a:srgbClr val="85604D">
                  <a:alpha val="39000"/>
                </a:srgbClr>
              </a:solidFill>
              <a:prstDash val="dash"/>
              <a:round/>
            </a:ln>
            <a:effectLst/>
          </c:spPr>
        </c:majorGridlines>
        <c:title>
          <c:tx>
            <c:rich>
              <a:bodyPr rot="-5400000" spcFirstLastPara="1" vertOverflow="ellipsis" vert="horz" wrap="square" anchor="ctr" anchorCtr="1"/>
              <a:lstStyle/>
              <a:p>
                <a:pPr>
                  <a:defRPr sz="1000" b="1" i="0" u="none" strike="noStrike" kern="1200" baseline="0">
                    <a:solidFill>
                      <a:srgbClr val="6A4C42"/>
                    </a:solidFill>
                    <a:latin typeface="+mn-lt"/>
                    <a:ea typeface="+mn-ea"/>
                    <a:cs typeface="+mn-cs"/>
                  </a:defRPr>
                </a:pPr>
                <a:r>
                  <a:rPr lang="en-CA"/>
                  <a:t>Canadian Dollars</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6A4C4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A4C42"/>
                </a:solidFill>
                <a:latin typeface="+mn-lt"/>
                <a:ea typeface="+mn-ea"/>
                <a:cs typeface="+mn-cs"/>
              </a:defRPr>
            </a:pPr>
            <a:endParaRPr lang="en-US"/>
          </a:p>
        </c:txPr>
        <c:crossAx val="61992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6A4C4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B1AC"/>
    </a:solidFill>
    <a:ln w="15875" cap="flat" cmpd="sng" algn="ctr">
      <a:solidFill>
        <a:srgbClr val="663300"/>
      </a:solidFill>
      <a:round/>
    </a:ln>
    <a:effectLst/>
  </c:spPr>
  <c:txPr>
    <a:bodyPr/>
    <a:lstStyle/>
    <a:p>
      <a:pPr>
        <a:defRPr b="1">
          <a:solidFill>
            <a:srgbClr val="6A4C4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[coffeeOrdersData.xlsx]Country Sales!Total Sales</c:name>
    <c:fmtId val="21"/>
  </c:pivotSource>
  <c:chart>
    <c:title>
      <c:tx>
        <c:rich>
          <a:bodyPr rot="0" spcFirstLastPara="1" vertOverflow="ellipsis" vert="horz" wrap="square" anchor="ctr" anchorCtr="1"/>
          <a:lstStyle/>
          <a:p>
            <a:pPr>
              <a:defRPr sz="1800" b="1" i="0" u="none" strike="noStrike" kern="1200" baseline="0">
                <a:solidFill>
                  <a:srgbClr val="6A4C4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6A4C4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25400">
            <a:solidFill>
              <a:srgbClr val="663300"/>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25400">
            <a:solidFill>
              <a:srgbClr val="663300"/>
            </a:solidFill>
          </a:ln>
          <a:effectLst/>
        </c:spPr>
      </c:pivotFmt>
      <c:pivotFmt>
        <c:idx val="5"/>
        <c:spPr>
          <a:solidFill>
            <a:srgbClr val="76B54B"/>
          </a:solidFill>
          <a:ln w="25400">
            <a:solidFill>
              <a:srgbClr val="663300"/>
            </a:solidFill>
          </a:ln>
          <a:effectLst/>
        </c:spPr>
      </c:pivotFmt>
      <c:pivotFmt>
        <c:idx val="6"/>
        <c:spPr>
          <a:solidFill>
            <a:srgbClr val="B7D8A0"/>
          </a:solidFill>
          <a:ln w="25400">
            <a:solidFill>
              <a:srgbClr val="663300"/>
            </a:solidFill>
          </a:ln>
          <a:effectLst/>
        </c:spPr>
      </c:pivotFmt>
    </c:pivotFmts>
    <c:plotArea>
      <c:layout/>
      <c:barChart>
        <c:barDir val="bar"/>
        <c:grouping val="clustered"/>
        <c:varyColors val="0"/>
        <c:ser>
          <c:idx val="0"/>
          <c:order val="0"/>
          <c:tx>
            <c:strRef>
              <c:f>'Country Sales'!$B$3</c:f>
              <c:strCache>
                <c:ptCount val="1"/>
                <c:pt idx="0">
                  <c:v>Total</c:v>
                </c:pt>
              </c:strCache>
            </c:strRef>
          </c:tx>
          <c:spPr>
            <a:solidFill>
              <a:schemeClr val="accent6">
                <a:lumMod val="75000"/>
              </a:schemeClr>
            </a:solidFill>
            <a:ln w="25400">
              <a:solidFill>
                <a:srgbClr val="663300"/>
              </a:solidFill>
            </a:ln>
            <a:effectLst/>
          </c:spPr>
          <c:invertIfNegative val="0"/>
          <c:dPt>
            <c:idx val="0"/>
            <c:invertIfNegative val="0"/>
            <c:bubble3D val="0"/>
            <c:spPr>
              <a:solidFill>
                <a:srgbClr val="76B54B"/>
              </a:solidFill>
              <a:ln w="25400">
                <a:solidFill>
                  <a:srgbClr val="663300"/>
                </a:solidFill>
              </a:ln>
              <a:effectLst/>
            </c:spPr>
            <c:extLst>
              <c:ext xmlns:c16="http://schemas.microsoft.com/office/drawing/2014/chart" uri="{C3380CC4-5D6E-409C-BE32-E72D297353CC}">
                <c16:uniqueId val="{00000005-D887-4B9A-B98D-1A5747D7E352}"/>
              </c:ext>
            </c:extLst>
          </c:dPt>
          <c:cat>
            <c:strRef>
              <c:f>'Country Sales'!$A$4:$A$6</c:f>
              <c:strCache>
                <c:ptCount val="2"/>
                <c:pt idx="0">
                  <c:v>Ireland</c:v>
                </c:pt>
                <c:pt idx="1">
                  <c:v>United States</c:v>
                </c:pt>
              </c:strCache>
            </c:strRef>
          </c:cat>
          <c:val>
            <c:numRef>
              <c:f>'Country Sales'!$B$4:$B$6</c:f>
              <c:numCache>
                <c:formatCode>#,##0</c:formatCode>
                <c:ptCount val="2"/>
                <c:pt idx="0">
                  <c:v>139.19999999999999</c:v>
                </c:pt>
                <c:pt idx="1">
                  <c:v>482.09999999999991</c:v>
                </c:pt>
              </c:numCache>
            </c:numRef>
          </c:val>
          <c:extLst>
            <c:ext xmlns:c16="http://schemas.microsoft.com/office/drawing/2014/chart" uri="{C3380CC4-5D6E-409C-BE32-E72D297353CC}">
              <c16:uniqueId val="{00000002-D887-4B9A-B98D-1A5747D7E352}"/>
            </c:ext>
          </c:extLst>
        </c:ser>
        <c:dLbls>
          <c:showLegendKey val="0"/>
          <c:showVal val="0"/>
          <c:showCatName val="0"/>
          <c:showSerName val="0"/>
          <c:showPercent val="0"/>
          <c:showBubbleSize val="0"/>
        </c:dLbls>
        <c:gapWidth val="182"/>
        <c:axId val="472328352"/>
        <c:axId val="472319712"/>
      </c:barChart>
      <c:catAx>
        <c:axId val="472328352"/>
        <c:scaling>
          <c:orientation val="minMax"/>
        </c:scaling>
        <c:delete val="0"/>
        <c:axPos val="l"/>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1" i="0" u="none" strike="noStrike" kern="1200" baseline="0">
                <a:solidFill>
                  <a:srgbClr val="6A4C42"/>
                </a:solidFill>
                <a:latin typeface="+mn-lt"/>
                <a:ea typeface="+mn-ea"/>
                <a:cs typeface="+mn-cs"/>
              </a:defRPr>
            </a:pPr>
            <a:endParaRPr lang="en-US"/>
          </a:p>
        </c:txPr>
        <c:crossAx val="472319712"/>
        <c:crosses val="autoZero"/>
        <c:auto val="1"/>
        <c:lblAlgn val="ctr"/>
        <c:lblOffset val="100"/>
        <c:noMultiLvlLbl val="0"/>
      </c:catAx>
      <c:valAx>
        <c:axId val="472319712"/>
        <c:scaling>
          <c:orientation val="minMax"/>
        </c:scaling>
        <c:delete val="0"/>
        <c:axPos val="b"/>
        <c:majorGridlines>
          <c:spPr>
            <a:ln w="9525" cap="flat" cmpd="sng" algn="ctr">
              <a:solidFill>
                <a:srgbClr val="6A4C42"/>
              </a:solidFill>
              <a:prstDash val="dash"/>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1" i="0" u="none" strike="noStrike" kern="1200" baseline="0">
                <a:solidFill>
                  <a:srgbClr val="6A4C42"/>
                </a:solidFill>
                <a:latin typeface="+mn-lt"/>
                <a:ea typeface="+mn-ea"/>
                <a:cs typeface="+mn-cs"/>
              </a:defRPr>
            </a:pPr>
            <a:endParaRPr lang="en-US"/>
          </a:p>
        </c:txPr>
        <c:crossAx val="472328352"/>
        <c:crosses val="autoZero"/>
        <c:crossBetween val="between"/>
      </c:valAx>
      <c:spPr>
        <a:noFill/>
        <a:ln>
          <a:noFill/>
        </a:ln>
        <a:effectLst/>
      </c:spPr>
    </c:plotArea>
    <c:plotVisOnly val="1"/>
    <c:dispBlanksAs val="gap"/>
    <c:showDLblsOverMax val="0"/>
    <c:extLst/>
  </c:chart>
  <c:spPr>
    <a:solidFill>
      <a:srgbClr val="CCB1AC"/>
    </a:solidFill>
    <a:ln w="6350" cap="flat" cmpd="sng" algn="ctr">
      <a:solidFill>
        <a:srgbClr val="663300"/>
      </a:solidFill>
      <a:prstDash val="solid"/>
      <a:round/>
    </a:ln>
    <a:effectLst/>
  </c:spPr>
  <c:txPr>
    <a:bodyPr/>
    <a:lstStyle/>
    <a:p>
      <a:pPr>
        <a:defRPr b="1">
          <a:solidFill>
            <a:srgbClr val="6A4C4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[coffeeOrdersData.xlsx]Top 5 Customers!Total Sales</c:name>
    <c:fmtId val="22"/>
  </c:pivotSource>
  <c:chart>
    <c:title>
      <c:tx>
        <c:rich>
          <a:bodyPr rot="0" spcFirstLastPara="1" vertOverflow="ellipsis" vert="horz" wrap="square" anchor="ctr" anchorCtr="1"/>
          <a:lstStyle/>
          <a:p>
            <a:pPr>
              <a:defRPr sz="1400" b="1" i="0" u="none" strike="noStrike" kern="1200" spc="0" baseline="0">
                <a:solidFill>
                  <a:srgbClr val="6A4C42"/>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A4C4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solidFill>
              <a:srgbClr val="663300"/>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6A4C4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a:solidFill>
                <a:srgbClr val="663300"/>
              </a:solidFill>
            </a:ln>
            <a:effectLst/>
          </c:spPr>
          <c:invertIfNegative val="0"/>
          <c:cat>
            <c:strRef>
              <c:f>'Top 5 Customers'!$A$4:$A$9</c:f>
              <c:strCache>
                <c:ptCount val="5"/>
                <c:pt idx="0">
                  <c:v>Anselma Attwater</c:v>
                </c:pt>
                <c:pt idx="1">
                  <c:v>Parker Tofful</c:v>
                </c:pt>
                <c:pt idx="2">
                  <c:v>Philipa Petrushanko</c:v>
                </c:pt>
                <c:pt idx="3">
                  <c:v>Noel Chisholm</c:v>
                </c:pt>
                <c:pt idx="4">
                  <c:v>Ugo Southerden</c:v>
                </c:pt>
              </c:strCache>
            </c:strRef>
          </c:cat>
          <c:val>
            <c:numRef>
              <c:f>'Top 5 Customers'!$B$4:$B$9</c:f>
              <c:numCache>
                <c:formatCode>#,##0</c:formatCode>
                <c:ptCount val="5"/>
                <c:pt idx="0">
                  <c:v>71.699999999999989</c:v>
                </c:pt>
                <c:pt idx="1">
                  <c:v>72.900000000000006</c:v>
                </c:pt>
                <c:pt idx="2">
                  <c:v>72.900000000000006</c:v>
                </c:pt>
                <c:pt idx="3">
                  <c:v>77.699999999999989</c:v>
                </c:pt>
                <c:pt idx="4">
                  <c:v>77.699999999999989</c:v>
                </c:pt>
              </c:numCache>
            </c:numRef>
          </c:val>
          <c:extLst>
            <c:ext xmlns:c16="http://schemas.microsoft.com/office/drawing/2014/chart" uri="{C3380CC4-5D6E-409C-BE32-E72D297353CC}">
              <c16:uniqueId val="{00000000-D534-468E-8813-7E1D0B1625FE}"/>
            </c:ext>
          </c:extLst>
        </c:ser>
        <c:dLbls>
          <c:showLegendKey val="0"/>
          <c:showVal val="0"/>
          <c:showCatName val="0"/>
          <c:showSerName val="0"/>
          <c:showPercent val="0"/>
          <c:showBubbleSize val="0"/>
        </c:dLbls>
        <c:gapWidth val="182"/>
        <c:axId val="472328352"/>
        <c:axId val="472319712"/>
      </c:barChart>
      <c:catAx>
        <c:axId val="4723283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6A4C42"/>
                </a:solidFill>
                <a:latin typeface="+mn-lt"/>
                <a:ea typeface="+mn-ea"/>
                <a:cs typeface="+mn-cs"/>
              </a:defRPr>
            </a:pPr>
            <a:endParaRPr lang="en-US"/>
          </a:p>
        </c:txPr>
        <c:crossAx val="472319712"/>
        <c:crosses val="autoZero"/>
        <c:auto val="1"/>
        <c:lblAlgn val="ctr"/>
        <c:lblOffset val="100"/>
        <c:noMultiLvlLbl val="0"/>
      </c:catAx>
      <c:valAx>
        <c:axId val="472319712"/>
        <c:scaling>
          <c:orientation val="minMax"/>
        </c:scaling>
        <c:delete val="0"/>
        <c:axPos val="b"/>
        <c:majorGridlines>
          <c:spPr>
            <a:ln w="9525" cap="flat" cmpd="sng" algn="ctr">
              <a:solidFill>
                <a:srgbClr val="6A4C42"/>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6A4C42"/>
                </a:solidFill>
                <a:latin typeface="+mn-lt"/>
                <a:ea typeface="+mn-ea"/>
                <a:cs typeface="+mn-cs"/>
              </a:defRPr>
            </a:pPr>
            <a:endParaRPr lang="en-US"/>
          </a:p>
        </c:txPr>
        <c:crossAx val="4723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B1AC"/>
    </a:solidFill>
    <a:ln w="9525" cap="flat" cmpd="sng" algn="ctr">
      <a:solidFill>
        <a:srgbClr val="663300"/>
      </a:solidFill>
      <a:round/>
    </a:ln>
    <a:effectLst/>
  </c:spPr>
  <c:txPr>
    <a:bodyPr/>
    <a:lstStyle/>
    <a:p>
      <a:pPr>
        <a:defRPr b="1">
          <a:solidFill>
            <a:srgbClr val="6A4C4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57509</xdr:colOff>
      <xdr:row>1</xdr:row>
      <xdr:rowOff>0</xdr:rowOff>
    </xdr:from>
    <xdr:to>
      <xdr:col>21</xdr:col>
      <xdr:colOff>546341</xdr:colOff>
      <xdr:row>5</xdr:row>
      <xdr:rowOff>0</xdr:rowOff>
    </xdr:to>
    <xdr:sp macro="" textlink="">
      <xdr:nvSpPr>
        <xdr:cNvPr id="5" name="Rectangle 4">
          <a:extLst>
            <a:ext uri="{FF2B5EF4-FFF2-40B4-BE49-F238E27FC236}">
              <a16:creationId xmlns:a16="http://schemas.microsoft.com/office/drawing/2014/main" id="{BE50E1DA-9C1A-868F-B3A7-4F925535B857}"/>
            </a:ext>
          </a:extLst>
        </xdr:cNvPr>
        <xdr:cNvSpPr/>
      </xdr:nvSpPr>
      <xdr:spPr>
        <a:xfrm>
          <a:off x="57509" y="57509"/>
          <a:ext cx="13169662" cy="747623"/>
        </a:xfrm>
        <a:prstGeom prst="rect">
          <a:avLst/>
        </a:prstGeom>
        <a:solidFill>
          <a:srgbClr val="BF9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3600"/>
            <a:t>COFFEE SALES</a:t>
          </a:r>
          <a:r>
            <a:rPr lang="en-CA" sz="3600" baseline="0"/>
            <a:t> DASHBOARD</a:t>
          </a:r>
          <a:endParaRPr lang="en-CA" sz="3600"/>
        </a:p>
      </xdr:txBody>
    </xdr:sp>
    <xdr:clientData/>
  </xdr:twoCellAnchor>
  <xdr:twoCellAnchor>
    <xdr:from>
      <xdr:col>0</xdr:col>
      <xdr:colOff>58592</xdr:colOff>
      <xdr:row>16</xdr:row>
      <xdr:rowOff>40394</xdr:rowOff>
    </xdr:from>
    <xdr:to>
      <xdr:col>13</xdr:col>
      <xdr:colOff>287545</xdr:colOff>
      <xdr:row>41</xdr:row>
      <xdr:rowOff>84572</xdr:rowOff>
    </xdr:to>
    <xdr:graphicFrame macro="">
      <xdr:nvGraphicFramePr>
        <xdr:cNvPr id="6" name="Chart 5">
          <a:extLst>
            <a:ext uri="{FF2B5EF4-FFF2-40B4-BE49-F238E27FC236}">
              <a16:creationId xmlns:a16="http://schemas.microsoft.com/office/drawing/2014/main" id="{99C22647-9384-42EC-9D92-D40D0A267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57508</xdr:colOff>
      <xdr:row>5</xdr:row>
      <xdr:rowOff>43919</xdr:rowOff>
    </xdr:from>
    <xdr:to>
      <xdr:col>16</xdr:col>
      <xdr:colOff>116417</xdr:colOff>
      <xdr:row>15</xdr:row>
      <xdr:rowOff>148167</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B7AE11B1-4A8A-43A8-8898-9D1FB3EAF67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508" y="877357"/>
              <a:ext cx="9964909" cy="2009248"/>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16</xdr:col>
      <xdr:colOff>170959</xdr:colOff>
      <xdr:row>10</xdr:row>
      <xdr:rowOff>24569</xdr:rowOff>
    </xdr:from>
    <xdr:to>
      <xdr:col>18</xdr:col>
      <xdr:colOff>592668</xdr:colOff>
      <xdr:row>15</xdr:row>
      <xdr:rowOff>159374</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3250A0C1-DA8D-467B-AAC4-98FE1D5CA8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76959" y="1810507"/>
              <a:ext cx="1659959" cy="108730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179917</xdr:colOff>
      <xdr:row>5</xdr:row>
      <xdr:rowOff>48352</xdr:rowOff>
    </xdr:from>
    <xdr:to>
      <xdr:col>21</xdr:col>
      <xdr:colOff>526858</xdr:colOff>
      <xdr:row>9</xdr:row>
      <xdr:rowOff>132122</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18909C1F-1829-491E-B42F-0E0CE22ABDC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85917" y="881790"/>
              <a:ext cx="3442566" cy="8457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21790</xdr:colOff>
      <xdr:row>10</xdr:row>
      <xdr:rowOff>16120</xdr:rowOff>
    </xdr:from>
    <xdr:to>
      <xdr:col>21</xdr:col>
      <xdr:colOff>529790</xdr:colOff>
      <xdr:row>15</xdr:row>
      <xdr:rowOff>160884</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3479D178-2AD0-4E8C-AA6A-05ED324C83F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785165" y="1802058"/>
              <a:ext cx="1746250" cy="10972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348983</xdr:colOff>
      <xdr:row>16</xdr:row>
      <xdr:rowOff>47317</xdr:rowOff>
    </xdr:from>
    <xdr:to>
      <xdr:col>21</xdr:col>
      <xdr:colOff>526676</xdr:colOff>
      <xdr:row>26</xdr:row>
      <xdr:rowOff>117958</xdr:rowOff>
    </xdr:to>
    <xdr:graphicFrame macro="">
      <xdr:nvGraphicFramePr>
        <xdr:cNvPr id="11" name="Chart 10">
          <a:extLst>
            <a:ext uri="{FF2B5EF4-FFF2-40B4-BE49-F238E27FC236}">
              <a16:creationId xmlns:a16="http://schemas.microsoft.com/office/drawing/2014/main" id="{39926B93-F2A9-4007-B053-F920F9F18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349872</xdr:colOff>
      <xdr:row>26</xdr:row>
      <xdr:rowOff>175153</xdr:rowOff>
    </xdr:from>
    <xdr:to>
      <xdr:col>21</xdr:col>
      <xdr:colOff>526676</xdr:colOff>
      <xdr:row>41</xdr:row>
      <xdr:rowOff>78441</xdr:rowOff>
    </xdr:to>
    <xdr:graphicFrame macro="">
      <xdr:nvGraphicFramePr>
        <xdr:cNvPr id="12" name="Chart 11">
          <a:extLst>
            <a:ext uri="{FF2B5EF4-FFF2-40B4-BE49-F238E27FC236}">
              <a16:creationId xmlns:a16="http://schemas.microsoft.com/office/drawing/2014/main" id="{B949ED49-C393-4459-A77E-464BF4D05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phie Tran" refreshedDate="46075.790932175929" createdVersion="8" refreshedVersion="8" minRefreshableVersion="3" recordCount="1000" xr:uid="{C97DED01-8634-4C2E-BCDC-209716CD569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348936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9BF1C0-9B72-4E31-AE36-79BE3517527C}" name="Total Sales" cacheId="3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4">
  <location ref="A3:G17"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13">
    <i>
      <x v="1"/>
      <x v="3"/>
    </i>
    <i r="1">
      <x v="4"/>
    </i>
    <i r="1">
      <x v="6"/>
    </i>
    <i r="1">
      <x v="7"/>
    </i>
    <i r="1">
      <x v="10"/>
    </i>
    <i r="1">
      <x v="11"/>
    </i>
    <i r="1">
      <x v="12"/>
    </i>
    <i t="default">
      <x v="1"/>
    </i>
    <i>
      <x v="2"/>
      <x v="3"/>
    </i>
    <i r="1">
      <x v="6"/>
    </i>
    <i r="1">
      <x v="7"/>
    </i>
    <i t="default">
      <x v="2"/>
    </i>
    <i t="grand">
      <x/>
    </i>
  </rowItems>
  <colFields count="1">
    <field x="13"/>
  </colFields>
  <colItems count="5">
    <i>
      <x/>
    </i>
    <i>
      <x v="1"/>
    </i>
    <i>
      <x v="2"/>
    </i>
    <i>
      <x v="3"/>
    </i>
    <i t="grand">
      <x/>
    </i>
  </colItems>
  <dataFields count="1">
    <dataField name="Sum of Sales" fld="12" baseField="15" baseItem="1" numFmtId="3"/>
  </dataFields>
  <chartFormats count="4">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60"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01C2C1-49F0-4164-A6E5-439F26D3C331}" name="Total Sales" cacheId="3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3:B6"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compact="0" outline="0" showAll="0"/>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3">
    <i>
      <x/>
    </i>
    <i>
      <x v="2"/>
    </i>
    <i t="grand">
      <x/>
    </i>
  </rowItems>
  <colItems count="1">
    <i/>
  </colItems>
  <dataFields count="1">
    <dataField name="Sum of Sales" fld="12" baseField="7" baseItem="0" numFmtId="3"/>
  </dataFields>
  <chartFormats count="4">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7" count="1" selected="0">
            <x v="2"/>
          </reference>
        </references>
      </pivotArea>
    </chartFormat>
    <chartFormat chart="21" format="5">
      <pivotArea type="data" outline="0" fieldPosition="0">
        <references count="2">
          <reference field="4294967294" count="1" selected="0">
            <x v="0"/>
          </reference>
          <reference field="7" count="1" selected="0">
            <x v="0"/>
          </reference>
        </references>
      </pivotArea>
    </chartFormat>
    <chartFormat chart="21" format="6">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60"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9C829A-4718-49A9-BCD1-67B517B29D5A}" name="Total Sales" cacheId="3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5">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h="1" x="3"/>
        <item h="1" x="1"/>
        <item x="0"/>
        <item h="1" x="2"/>
        <item t="default"/>
      </items>
    </pivotField>
    <pivotField compact="0" numFmtId="167" outline="0" showAll="0"/>
    <pivotField dataField="1" compact="0" numFmtId="167" outline="0" showAll="0"/>
    <pivotField compact="0" outline="0" showAll="0"/>
    <pivotField compact="0" outline="0" showAll="0">
      <items count="4">
        <item x="2"/>
        <item h="1" x="1"/>
        <item h="1" x="0"/>
        <item t="default"/>
      </items>
    </pivotField>
    <pivotField compact="0" outline="0" showAll="0">
      <items count="3">
        <item h="1"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54"/>
    </i>
    <i>
      <x v="685"/>
    </i>
    <i>
      <x v="699"/>
    </i>
    <i>
      <x v="666"/>
    </i>
    <i>
      <x v="854"/>
    </i>
    <i t="grand">
      <x/>
    </i>
  </rowItems>
  <colItems count="1">
    <i/>
  </colItems>
  <dataFields count="1">
    <dataField name="Sum of Sales" fld="12" baseField="15" baseItem="1" numFmtId="3"/>
  </dataFields>
  <chartFormats count="5">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5" count="1" selected="0">
            <x v="125"/>
          </reference>
        </references>
      </pivotArea>
    </chartFormat>
    <chartFormat chart="22" format="4">
      <pivotArea type="data" outline="0" fieldPosition="0">
        <references count="2">
          <reference field="4294967294" count="1" selected="0">
            <x v="0"/>
          </reference>
          <reference field="5" count="1" selected="0">
            <x v="831"/>
          </reference>
        </references>
      </pivotArea>
    </chartFormat>
    <chartFormat chart="22" format="5">
      <pivotArea type="data" outline="0" fieldPosition="0">
        <references count="2">
          <reference field="4294967294" count="1" selected="0">
            <x v="0"/>
          </reference>
          <reference field="5" count="1" selected="0">
            <x v="646"/>
          </reference>
        </references>
      </pivotArea>
    </chartFormat>
    <chartFormat chart="22" format="6">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2">
    <filter fld="1" type="dateBetween" evalOrder="-1" id="61" name="Order Date">
      <autoFilter ref="A1">
        <filterColumn colId="0">
          <customFilters and="1">
            <customFilter operator="greaterThanOrEqual" val="43525"/>
            <customFilter operator="lessThanOrEqual" val="44043"/>
          </customFilters>
        </filterColumn>
      </autoFilter>
      <extLst>
        <ext xmlns:x15="http://schemas.microsoft.com/office/spreadsheetml/2010/11/main" uri="{0605FD5F-26C8-4aeb-8148-2DB25E43C511}">
          <x15:pivotFilter useWholeDay="1"/>
        </ext>
      </extLst>
    </filter>
    <filter fld="5" type="count" evalOrder="-1" id="5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31BFB44-04C8-43BD-B6CD-9F8F9F1814EC}" sourceName="Size">
  <pivotTables>
    <pivotTable tabId="18" name="Total Sales"/>
    <pivotTable tabId="19" name="Total Sales"/>
    <pivotTable tabId="20" name="Total Sales"/>
  </pivotTables>
  <data>
    <tabular pivotCacheId="1348936816">
      <items count="4">
        <i x="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3F7ED00-F2B1-4563-AAC2-5A5EC4841C11}" sourceName="Roast Type Name">
  <pivotTables>
    <pivotTable tabId="18" name="Total Sales"/>
    <pivotTable tabId="19" name="Total Sales"/>
    <pivotTable tabId="20" name="Total Sales"/>
  </pivotTables>
  <data>
    <tabular pivotCacheId="1348936816">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201BEBA-6B3F-4032-A2D8-884A4EB1B348}" sourceName="Loyalty Card">
  <pivotTables>
    <pivotTable tabId="18" name="Total Sales"/>
    <pivotTable tabId="19" name="Total Sales"/>
    <pivotTable tabId="20" name="Total Sales"/>
  </pivotTables>
  <data>
    <tabular pivotCacheId="134893681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0CEE2FE-C1FE-4530-9555-08D2DABEB85C}" cache="Slicer_Size" caption="Size" columnCount="2" style="SlicerStyleLight1 2" rowHeight="234950"/>
  <slicer name="Roast Type Name" xr10:uid="{E6DFE7F8-F075-49AD-89EC-E11C5155564E}" cache="Slicer_Roast_Type_Name" caption="Roast Type Name" columnCount="3" style="SlicerStyleLight1 2" rowHeight="234950"/>
  <slicer name="Loyalty Card" xr10:uid="{61AF8D0B-F22C-4B9E-9CE3-5522803A7BF3}" cache="Slicer_Loyalty_Card" caption="Loyalty Card"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E70170-946B-4EC5-884C-1BA7BD83498D}" name="Orders" displayName="Orders" ref="A1:P1001" totalsRowShown="0" headerRowDxfId="16">
  <autoFilter ref="A1:P1001" xr:uid="{18E70170-946B-4EC5-884C-1BA7BD83498D}"/>
  <tableColumns count="16">
    <tableColumn id="1" xr3:uid="{B550BDCA-D04E-44A5-BD46-0B4F521B23B7}" name="Order ID" dataDxfId="15"/>
    <tableColumn id="2" xr3:uid="{18772E50-94A2-40FD-9335-6F0C9E3976D2}" name="Order Date" dataDxfId="14"/>
    <tableColumn id="3" xr3:uid="{4092E022-6D12-4BB6-A2EB-3F100F837690}" name="Customer ID" dataDxfId="13"/>
    <tableColumn id="4" xr3:uid="{ECBB71DB-C046-46B4-8010-2A5F11AE66CB}" name="Product ID"/>
    <tableColumn id="5" xr3:uid="{8DDD5782-D0BD-47D7-BAD0-BB280BBDA8AC}" name="Quantity" dataDxfId="12"/>
    <tableColumn id="6" xr3:uid="{F325CC0E-6EB9-4E51-89F3-CBA5C15F2E12}" name="Customer Name" dataDxfId="11">
      <calculatedColumnFormula>_xlfn.XLOOKUP(C2,customers!$A$1:$A$1001,customers!$B$1:$B$1001,,0)</calculatedColumnFormula>
    </tableColumn>
    <tableColumn id="7" xr3:uid="{5D75FA85-D1E0-425E-85E2-08094698FC36}" name="Email" dataDxfId="10">
      <calculatedColumnFormula>IF(_xlfn.XLOOKUP(C2,customers!$A$1:$A$1001,customers!$C$1:$C$1001,,0)=0,"",_xlfn.XLOOKUP(C2,customers!$A$1:$A$1001,customers!$C$1:$C$1001,,0))</calculatedColumnFormula>
    </tableColumn>
    <tableColumn id="8" xr3:uid="{D41210D1-D00B-44BB-96DA-661BDFF4983E}" name="Country" dataDxfId="9">
      <calculatedColumnFormula>_xlfn.XLOOKUP(C2,customers!$A$1:$A$1001,customers!$G$1:$G$1001,,0)</calculatedColumnFormula>
    </tableColumn>
    <tableColumn id="9" xr3:uid="{2A4ED4EF-D620-4D8C-9E1B-3E5BB7374D61}" name="Coffee Type">
      <calculatedColumnFormula>INDEX(products!$A$1:$G$49,MATCH(orders!$D2,products!$A$1:$A$49,0),MATCH(orders!I$1,products!$A$1:$G$1,0))</calculatedColumnFormula>
    </tableColumn>
    <tableColumn id="10" xr3:uid="{C4046655-D1F6-49F9-AC4F-676112231981}" name="Roast Type">
      <calculatedColumnFormula>INDEX(products!$A$1:$G$49,MATCH(orders!$D2,products!$A$1:$A$49,0),MATCH(orders!J$1,products!$A$1:$G$1,0))</calculatedColumnFormula>
    </tableColumn>
    <tableColumn id="11" xr3:uid="{C1F5B1FE-1061-4A82-9DB3-B6994665D7FF}" name="Size" dataDxfId="8">
      <calculatedColumnFormula>INDEX(products!$A$1:$G$49,MATCH(orders!$D2,products!$A$1:$A$49,0),MATCH(orders!K$1,products!$A$1:$G$1,0))</calculatedColumnFormula>
    </tableColumn>
    <tableColumn id="12" xr3:uid="{6DC3DF4E-C429-4281-86EB-77D6DBE2BD09}" name="Unit Price" dataDxfId="7">
      <calculatedColumnFormula>INDEX(products!$A$1:$G$49,MATCH(orders!$D2,products!$A$1:$A$49,0),MATCH(orders!L$1,products!$A$1:$G$1,0))</calculatedColumnFormula>
    </tableColumn>
    <tableColumn id="13" xr3:uid="{431F0C7D-7C59-4982-B3D8-6BAFE044127A}" name="Sales" dataDxfId="6">
      <calculatedColumnFormula>L2*E2</calculatedColumnFormula>
    </tableColumn>
    <tableColumn id="14" xr3:uid="{FBC751B5-EB4B-471B-A4D7-90F0DD3A7789}" name="Coffee Type Name">
      <calculatedColumnFormula>IF(I2="Rob","Robusta",IF(I2="Exc","Excelsa",IF(I2="Ara","Arabica",IF(I2="Lib","Liberica",""))))</calculatedColumnFormula>
    </tableColumn>
    <tableColumn id="15" xr3:uid="{F2653C9B-88B6-4331-8066-22927ED45EE0}" name="Roast Type Name">
      <calculatedColumnFormula>IF(J2="L","Light",IF(J2="M","Medium",IF(J2="D","Dark","")))</calculatedColumnFormula>
    </tableColumn>
    <tableColumn id="16" xr3:uid="{A304E2A7-C9D3-438E-A6C0-8FCAB41A82C4}" name="Loyalty Card" dataDxfId="5">
      <calculatedColumnFormula>_xlfn.XLOOKUP(Orders[[#This Row],[Customer ID]],customers!$A$1:$A$1001,customers!$I$1:$I$1001,,0)</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9358E65-26E7-42C2-A5C7-96F054D78C5E}" sourceName="Order Date">
  <pivotTables>
    <pivotTable tabId="18" name="Total Sales"/>
    <pivotTable tabId="19" name="Total Sales"/>
    <pivotTable tabId="20" name="Total Sales"/>
  </pivotTables>
  <state minimalRefreshVersion="6" lastRefreshVersion="6" pivotCacheId="1348936816" filterType="dateBetween">
    <selection startDate="2019-03-01T00:00:00" endDate="2020-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57DFC3E-3DC0-425B-B954-A4A842E28A52}" cache="NativeTimeline_Order_Date" caption="Order Date" level="2" selectionLevel="2" scrollPosition="2019-01-12T00:00:00" style="Coffe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4138F-0FA1-4E19-8D50-D2D7D83367CF}">
  <sheetPr>
    <pageSetUpPr autoPageBreaks="0"/>
  </sheetPr>
  <dimension ref="A1"/>
  <sheetViews>
    <sheetView showGridLines="0" showRowColHeaders="0" tabSelected="1" zoomScale="32" zoomScaleNormal="54" workbookViewId="0">
      <selection activeCell="U49" sqref="U49"/>
    </sheetView>
  </sheetViews>
  <sheetFormatPr defaultRowHeight="14.4" x14ac:dyDescent="0.3"/>
  <sheetData>
    <row r="1" ht="4.95" customHeight="1" x14ac:dyDescent="0.3"/>
  </sheetData>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C276-C868-40CE-9D9A-32156FD6A554}">
  <dimension ref="A3:G17"/>
  <sheetViews>
    <sheetView zoomScale="63" zoomScaleNormal="62" workbookViewId="0">
      <selection activeCell="X32" sqref="X32"/>
    </sheetView>
  </sheetViews>
  <sheetFormatPr defaultRowHeight="14.4" x14ac:dyDescent="0.3"/>
  <cols>
    <col min="1" max="1" width="12.5546875" bestFit="1" customWidth="1"/>
    <col min="2" max="2" width="23.21875" bestFit="1" customWidth="1"/>
    <col min="3" max="6" width="21.109375" bestFit="1" customWidth="1"/>
    <col min="7" max="7" width="11.44140625" bestFit="1" customWidth="1"/>
  </cols>
  <sheetData>
    <row r="3" spans="1:7" x14ac:dyDescent="0.3">
      <c r="A3" s="6" t="s">
        <v>6216</v>
      </c>
      <c r="C3" s="6" t="s">
        <v>6196</v>
      </c>
    </row>
    <row r="4" spans="1:7" x14ac:dyDescent="0.3">
      <c r="A4" s="6" t="s">
        <v>6208</v>
      </c>
      <c r="B4" s="6" t="s">
        <v>6209</v>
      </c>
      <c r="C4" t="s">
        <v>6212</v>
      </c>
      <c r="D4" t="s">
        <v>6213</v>
      </c>
      <c r="E4" t="s">
        <v>6214</v>
      </c>
      <c r="F4" t="s">
        <v>6215</v>
      </c>
      <c r="G4" t="s">
        <v>6198</v>
      </c>
    </row>
    <row r="5" spans="1:7" x14ac:dyDescent="0.3">
      <c r="A5" t="s">
        <v>6199</v>
      </c>
      <c r="B5" t="s">
        <v>6201</v>
      </c>
      <c r="C5" s="7"/>
      <c r="D5" s="7">
        <v>12.15</v>
      </c>
      <c r="E5" s="7"/>
      <c r="F5" s="7"/>
      <c r="G5" s="7">
        <v>12.15</v>
      </c>
    </row>
    <row r="6" spans="1:7" x14ac:dyDescent="0.3">
      <c r="B6" t="s">
        <v>6202</v>
      </c>
      <c r="C6" s="7"/>
      <c r="D6" s="7">
        <v>109.35000000000001</v>
      </c>
      <c r="E6" s="7"/>
      <c r="F6" s="7">
        <v>44.75</v>
      </c>
      <c r="G6" s="7">
        <v>154.10000000000002</v>
      </c>
    </row>
    <row r="7" spans="1:7" x14ac:dyDescent="0.3">
      <c r="B7" t="s">
        <v>6203</v>
      </c>
      <c r="C7" s="7"/>
      <c r="D7" s="7"/>
      <c r="E7" s="7"/>
      <c r="F7" s="7">
        <v>53.699999999999996</v>
      </c>
      <c r="G7" s="7">
        <v>53.699999999999996</v>
      </c>
    </row>
    <row r="8" spans="1:7" x14ac:dyDescent="0.3">
      <c r="B8" t="s">
        <v>6204</v>
      </c>
      <c r="C8" s="7"/>
      <c r="D8" s="7">
        <v>12.15</v>
      </c>
      <c r="E8" s="7">
        <v>12.95</v>
      </c>
      <c r="F8" s="7"/>
      <c r="G8" s="7">
        <v>25.1</v>
      </c>
    </row>
    <row r="9" spans="1:7" x14ac:dyDescent="0.3">
      <c r="B9" t="s">
        <v>6205</v>
      </c>
      <c r="C9" s="7"/>
      <c r="D9" s="7"/>
      <c r="E9" s="7">
        <v>51.8</v>
      </c>
      <c r="F9" s="7"/>
      <c r="G9" s="7">
        <v>51.8</v>
      </c>
    </row>
    <row r="10" spans="1:7" x14ac:dyDescent="0.3">
      <c r="B10" t="s">
        <v>6206</v>
      </c>
      <c r="C10" s="7">
        <v>49.75</v>
      </c>
      <c r="D10" s="7"/>
      <c r="E10" s="7"/>
      <c r="F10" s="7"/>
      <c r="G10" s="7">
        <v>49.75</v>
      </c>
    </row>
    <row r="11" spans="1:7" x14ac:dyDescent="0.3">
      <c r="B11" t="s">
        <v>6207</v>
      </c>
      <c r="C11" s="7"/>
      <c r="D11" s="7"/>
      <c r="E11" s="7">
        <v>77.699999999999989</v>
      </c>
      <c r="F11" s="7"/>
      <c r="G11" s="7">
        <v>77.699999999999989</v>
      </c>
    </row>
    <row r="12" spans="1:7" x14ac:dyDescent="0.3">
      <c r="A12" t="s">
        <v>6210</v>
      </c>
      <c r="C12" s="7">
        <v>49.75</v>
      </c>
      <c r="D12" s="7">
        <v>133.65</v>
      </c>
      <c r="E12" s="7">
        <v>142.44999999999999</v>
      </c>
      <c r="F12" s="7">
        <v>98.449999999999989</v>
      </c>
      <c r="G12" s="7">
        <v>424.3</v>
      </c>
    </row>
    <row r="13" spans="1:7" x14ac:dyDescent="0.3">
      <c r="A13" t="s">
        <v>6200</v>
      </c>
      <c r="B13" t="s">
        <v>6201</v>
      </c>
      <c r="C13" s="7"/>
      <c r="D13" s="7">
        <v>109.35000000000001</v>
      </c>
      <c r="E13" s="7"/>
      <c r="F13" s="7"/>
      <c r="G13" s="7">
        <v>109.35000000000001</v>
      </c>
    </row>
    <row r="14" spans="1:7" x14ac:dyDescent="0.3">
      <c r="B14" t="s">
        <v>6203</v>
      </c>
      <c r="C14" s="7"/>
      <c r="D14" s="7"/>
      <c r="E14" s="7">
        <v>77.699999999999989</v>
      </c>
      <c r="F14" s="7"/>
      <c r="G14" s="7">
        <v>77.699999999999989</v>
      </c>
    </row>
    <row r="15" spans="1:7" x14ac:dyDescent="0.3">
      <c r="B15" t="s">
        <v>6204</v>
      </c>
      <c r="C15" s="7">
        <v>9.9499999999999993</v>
      </c>
      <c r="D15" s="7"/>
      <c r="E15" s="7"/>
      <c r="F15" s="7"/>
      <c r="G15" s="7">
        <v>9.9499999999999993</v>
      </c>
    </row>
    <row r="16" spans="1:7" x14ac:dyDescent="0.3">
      <c r="A16" t="s">
        <v>6211</v>
      </c>
      <c r="C16" s="7">
        <v>9.9499999999999993</v>
      </c>
      <c r="D16" s="7">
        <v>109.35000000000001</v>
      </c>
      <c r="E16" s="7">
        <v>77.699999999999989</v>
      </c>
      <c r="F16" s="7"/>
      <c r="G16" s="7">
        <v>197</v>
      </c>
    </row>
    <row r="17" spans="1:7" x14ac:dyDescent="0.3">
      <c r="A17" t="s">
        <v>6198</v>
      </c>
      <c r="C17" s="7">
        <v>59.7</v>
      </c>
      <c r="D17" s="7">
        <v>243</v>
      </c>
      <c r="E17" s="7">
        <v>220.14999999999998</v>
      </c>
      <c r="F17" s="7">
        <v>98.449999999999989</v>
      </c>
      <c r="G17" s="7">
        <v>621.29999999999995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A917-983A-4F77-B1C7-E31B193B3916}">
  <dimension ref="A3:B6"/>
  <sheetViews>
    <sheetView topLeftCell="A10" zoomScale="90" zoomScaleNormal="62" workbookViewId="0">
      <selection activeCell="E31" sqref="E31"/>
    </sheetView>
  </sheetViews>
  <sheetFormatPr defaultRowHeight="14.4" x14ac:dyDescent="0.3"/>
  <cols>
    <col min="1" max="1" width="12.6640625" bestFit="1" customWidth="1"/>
    <col min="2" max="2" width="12.109375" bestFit="1" customWidth="1"/>
    <col min="3" max="3" width="16.6640625" bestFit="1" customWidth="1"/>
    <col min="4" max="6" width="21.109375" bestFit="1" customWidth="1"/>
    <col min="7" max="7" width="11.44140625" bestFit="1" customWidth="1"/>
  </cols>
  <sheetData>
    <row r="3" spans="1:2" x14ac:dyDescent="0.3">
      <c r="A3" s="6" t="s">
        <v>7</v>
      </c>
      <c r="B3" t="s">
        <v>6216</v>
      </c>
    </row>
    <row r="4" spans="1:2" x14ac:dyDescent="0.3">
      <c r="A4" t="s">
        <v>318</v>
      </c>
      <c r="B4" s="7">
        <v>139.19999999999999</v>
      </c>
    </row>
    <row r="5" spans="1:2" x14ac:dyDescent="0.3">
      <c r="A5" t="s">
        <v>19</v>
      </c>
      <c r="B5" s="7">
        <v>482.09999999999991</v>
      </c>
    </row>
    <row r="6" spans="1:2" x14ac:dyDescent="0.3">
      <c r="A6" t="s">
        <v>6198</v>
      </c>
      <c r="B6" s="7">
        <v>621.29999999999995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8701-3DCF-4A2C-8D35-3D599C908C80}">
  <dimension ref="A3:B9"/>
  <sheetViews>
    <sheetView zoomScale="63" zoomScaleNormal="62" workbookViewId="0">
      <selection activeCell="F10" sqref="F10"/>
    </sheetView>
  </sheetViews>
  <sheetFormatPr defaultRowHeight="14.4" x14ac:dyDescent="0.3"/>
  <cols>
    <col min="1" max="1" width="20.88671875" bestFit="1" customWidth="1"/>
    <col min="2" max="4" width="12.44140625" bestFit="1" customWidth="1"/>
    <col min="5" max="6" width="21.109375" bestFit="1" customWidth="1"/>
    <col min="7" max="7" width="11.44140625" bestFit="1" customWidth="1"/>
  </cols>
  <sheetData>
    <row r="3" spans="1:2" x14ac:dyDescent="0.3">
      <c r="A3" s="6" t="s">
        <v>4</v>
      </c>
      <c r="B3" t="s">
        <v>6216</v>
      </c>
    </row>
    <row r="4" spans="1:2" x14ac:dyDescent="0.3">
      <c r="A4" t="s">
        <v>1673</v>
      </c>
      <c r="B4" s="7">
        <v>71.699999999999989</v>
      </c>
    </row>
    <row r="5" spans="1:2" x14ac:dyDescent="0.3">
      <c r="A5" t="s">
        <v>2545</v>
      </c>
      <c r="B5" s="7">
        <v>72.900000000000006</v>
      </c>
    </row>
    <row r="6" spans="1:2" x14ac:dyDescent="0.3">
      <c r="A6" t="s">
        <v>1575</v>
      </c>
      <c r="B6" s="7">
        <v>72.900000000000006</v>
      </c>
    </row>
    <row r="7" spans="1:2" x14ac:dyDescent="0.3">
      <c r="A7" t="s">
        <v>5358</v>
      </c>
      <c r="B7" s="7">
        <v>77.699999999999989</v>
      </c>
    </row>
    <row r="8" spans="1:2" x14ac:dyDescent="0.3">
      <c r="A8" t="s">
        <v>4894</v>
      </c>
      <c r="B8" s="7">
        <v>77.699999999999989</v>
      </c>
    </row>
    <row r="9" spans="1:2" x14ac:dyDescent="0.3">
      <c r="A9" t="s">
        <v>6198</v>
      </c>
      <c r="B9" s="7">
        <v>372.9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6" zoomScaleNormal="75" workbookViewId="0">
      <selection activeCell="P3" sqref="P3"/>
    </sheetView>
  </sheetViews>
  <sheetFormatPr defaultRowHeight="14.4" x14ac:dyDescent="0.3"/>
  <cols>
    <col min="1" max="1" width="16.5546875" bestFit="1" customWidth="1"/>
    <col min="2" max="2" width="12.77734375" customWidth="1"/>
    <col min="3" max="3" width="17.44140625" bestFit="1" customWidth="1"/>
    <col min="4" max="4" width="12.44140625" customWidth="1"/>
    <col min="5" max="5" width="10.88671875" customWidth="1"/>
    <col min="6" max="6" width="22.21875" bestFit="1" customWidth="1"/>
    <col min="7" max="7" width="37.33203125" bestFit="1" customWidth="1"/>
    <col min="8" max="8" width="14.44140625" bestFit="1" customWidth="1"/>
    <col min="9" max="9" width="13.33203125" customWidth="1"/>
    <col min="10" max="10" width="12.6640625" customWidth="1"/>
    <col min="11" max="11" width="6.33203125" customWidth="1"/>
    <col min="12" max="12" width="11.6640625" customWidth="1"/>
    <col min="13" max="13" width="10.88671875" bestFit="1" customWidth="1"/>
    <col min="14" max="14" width="19" customWidth="1"/>
    <col min="15" max="15" width="18.33203125" customWidth="1"/>
    <col min="16" max="16" width="14.441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IF(J2="L","Light",IF(J2="M","Medium",IF(J2="D","Dark","")))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IF(J3="L","Light",IF(J3="M","Medium",IF(J3="D","Dark","")))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IF(J67="L","Light",IF(J67="M","Medium",IF(J67="D","Dark","")))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IF(J131="L","Light",IF(J131="M","Medium",IF(J131="D","Dark","")))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IF(J195="L","Light",IF(J195="M","Medium",IF(J195="D","Dark","")))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IF(J259="L","Light",IF(J259="M","Medium",IF(J259="D","Dark","")))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IF(J323="L","Light",IF(J323="M","Medium",IF(J323="D","Dark","")))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IF(J387="L","Light",IF(J387="M","Medium",IF(J387="D","Dark","")))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IF(J451="L","Light",IF(J451="M","Medium",IF(J451="D","Dark","")))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IF(J515="L","Light",IF(J515="M","Medium",IF(J515="D","Dark","")))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IF(J579="L","Light",IF(J579="M","Medium",IF(J579="D","Dark","")))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IF(J643="L","Light",IF(J643="M","Medium",IF(J643="D","Dark","")))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IF(J707="L","Light",IF(J707="M","Medium",IF(J707="D","Dark","")))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IF(J771="L","Light",IF(J771="M","Medium",IF(J771="D","Dark","")))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IF(J835="L","Light",IF(J835="M","Medium",IF(J835="D","Dark","")))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IF(J899="L","Light",IF(J899="M","Medium",IF(J899="D","Dark","")))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IF(J963="L","Light",IF(J963="M","Medium",IF(J963="D","Dark","")))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0" orientation="portrait" horizontalDpi="0" verticalDpi="0" copie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977"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5"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Sales</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Vy Tran</cp:lastModifiedBy>
  <cp:revision/>
  <dcterms:created xsi:type="dcterms:W3CDTF">2022-11-26T09:51:45Z</dcterms:created>
  <dcterms:modified xsi:type="dcterms:W3CDTF">2026-02-23T00:08:58Z</dcterms:modified>
  <cp:category/>
  <cp:contentStatus/>
</cp:coreProperties>
</file>